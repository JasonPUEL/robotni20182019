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mc:AlternateContent xmlns:mc="http://schemas.openxmlformats.org/markup-compatibility/2006">
    <mc:Choice Requires="x15">
      <x15ac:absPath xmlns:x15ac="http://schemas.microsoft.com/office/spreadsheetml/2010/11/ac" url="D:\Téléchargements\"/>
    </mc:Choice>
  </mc:AlternateContent>
  <xr:revisionPtr revIDLastSave="0" documentId="13_ncr:1_{48BBFE2E-EB93-4B01-8A4B-23BD3BE15134}" xr6:coauthVersionLast="40" xr6:coauthVersionMax="40" xr10:uidLastSave="{00000000-0000-0000-0000-000000000000}"/>
  <bookViews>
    <workbookView xWindow="-110" yWindow="-110" windowWidth="19420" windowHeight="10420" xr2:uid="{00000000-000D-0000-FFFF-FFFF00000000}"/>
  </bookViews>
  <sheets>
    <sheet name="Timeline" sheetId="2" r:id="rId1"/>
    <sheet name="About" sheetId="3" r:id="rId2"/>
  </sheets>
  <definedNames>
    <definedName name="_xlnm.Print_Titles" localSheetId="0">Timeline!$51:$51</definedName>
    <definedName name="_xlnm.Print_Area" localSheetId="0">Timeline!$A:$G</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46" i="2" l="1"/>
  <c r="C46" i="2"/>
  <c r="F46" i="2"/>
  <c r="D40" i="2"/>
  <c r="D47" i="2"/>
  <c r="C47" i="2"/>
  <c r="F47" i="2"/>
  <c r="D45" i="2" l="1"/>
  <c r="C45" i="2"/>
  <c r="F45" i="2"/>
  <c r="D44" i="2"/>
  <c r="C44" i="2"/>
  <c r="F44" i="2"/>
  <c r="D33" i="2"/>
  <c r="D43" i="2"/>
  <c r="C43" i="2"/>
  <c r="F43" i="2"/>
  <c r="D38" i="2"/>
  <c r="D39" i="2"/>
  <c r="D41" i="2"/>
  <c r="D42" i="2"/>
  <c r="D32" i="2"/>
  <c r="D34" i="2"/>
  <c r="D58" i="2"/>
  <c r="F36" i="2" l="1"/>
  <c r="F35" i="2"/>
  <c r="F31" i="2"/>
  <c r="C42" i="2"/>
  <c r="C41" i="2"/>
  <c r="C40" i="2"/>
  <c r="C32" i="2"/>
  <c r="C33" i="2"/>
  <c r="C34" i="2"/>
  <c r="C35" i="2"/>
  <c r="C36" i="2"/>
  <c r="C37" i="2"/>
  <c r="C38" i="2"/>
  <c r="C39" i="2"/>
  <c r="C31" i="2"/>
  <c r="D37" i="2"/>
  <c r="D36" i="2"/>
  <c r="D35" i="2"/>
  <c r="F42" i="2" l="1"/>
  <c r="F41" i="2"/>
  <c r="F40" i="2"/>
  <c r="D56" i="2"/>
  <c r="D55" i="2"/>
  <c r="D54" i="2"/>
  <c r="D53" i="2"/>
  <c r="D57" i="2"/>
  <c r="F38" i="2" l="1"/>
  <c r="F37" i="2"/>
  <c r="F32" i="2"/>
  <c r="F39" i="2"/>
  <c r="D31" i="2" l="1"/>
  <c r="F33" i="2" l="1"/>
  <c r="F3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A29" authorId="0" shapeId="0" xr:uid="{AD27B1E5-E2A9-4F09-BFD9-4E3F3FFBD010}">
      <text>
        <r>
          <rPr>
            <b/>
            <sz val="9"/>
            <color indexed="81"/>
            <rFont val="Tahoma"/>
            <family val="2"/>
          </rPr>
          <t>Start Date:</t>
        </r>
        <r>
          <rPr>
            <sz val="9"/>
            <color indexed="81"/>
            <rFont val="Tahoma"/>
            <family val="2"/>
          </rPr>
          <t xml:space="preserve">
You can manually enter the Start Date, or you can use a formula to start a task the day after the completion of a previous task such as =</t>
        </r>
        <r>
          <rPr>
            <i/>
            <sz val="9"/>
            <color indexed="81"/>
            <rFont val="Tahoma"/>
            <family val="2"/>
          </rPr>
          <t>end_date</t>
        </r>
        <r>
          <rPr>
            <sz val="9"/>
            <color indexed="81"/>
            <rFont val="Tahoma"/>
            <family val="2"/>
          </rPr>
          <t>+1</t>
        </r>
      </text>
    </comment>
    <comment ref="B29" authorId="0" shapeId="0" xr:uid="{E10BB8D5-2CDB-4C62-8121-1C860ECC1788}">
      <text>
        <r>
          <rPr>
            <b/>
            <sz val="9"/>
            <color indexed="81"/>
            <rFont val="Tahoma"/>
            <family val="2"/>
          </rPr>
          <t>End Date:</t>
        </r>
        <r>
          <rPr>
            <sz val="9"/>
            <color indexed="81"/>
            <rFont val="Tahoma"/>
            <family val="2"/>
          </rPr>
          <t xml:space="preserve">
You can manually enter the End Date, or you can calculate the End Date from the Start Date and Duration using the formula =</t>
        </r>
        <r>
          <rPr>
            <i/>
            <sz val="9"/>
            <color indexed="81"/>
            <rFont val="Tahoma"/>
            <family val="2"/>
          </rPr>
          <t>start_date</t>
        </r>
        <r>
          <rPr>
            <sz val="9"/>
            <color indexed="81"/>
            <rFont val="Tahoma"/>
            <family val="2"/>
          </rPr>
          <t>+</t>
        </r>
        <r>
          <rPr>
            <i/>
            <sz val="9"/>
            <color indexed="81"/>
            <rFont val="Tahoma"/>
            <family val="2"/>
          </rPr>
          <t>duration</t>
        </r>
        <r>
          <rPr>
            <sz val="9"/>
            <color indexed="81"/>
            <rFont val="Tahoma"/>
            <family val="2"/>
          </rPr>
          <t>-1.</t>
        </r>
      </text>
    </comment>
    <comment ref="C29" authorId="0" shapeId="0" xr:uid="{4E67EE91-4ACB-45E4-8071-9F7FB7DB290D}">
      <text>
        <r>
          <rPr>
            <b/>
            <sz val="9"/>
            <color indexed="81"/>
            <rFont val="Tahoma"/>
            <family val="2"/>
          </rPr>
          <t>Task Duration:</t>
        </r>
        <r>
          <rPr>
            <sz val="9"/>
            <color indexed="81"/>
            <rFont val="Tahoma"/>
            <family val="2"/>
          </rPr>
          <t xml:space="preserve">
To show the duration of a task as a horizontal bar, enter the number of days in this column. Leave the column blank if you do not want to display durations.
If you enter the End Date, you can calculate the Duration using the formula =</t>
        </r>
        <r>
          <rPr>
            <i/>
            <sz val="9"/>
            <color indexed="81"/>
            <rFont val="Tahoma"/>
            <family val="2"/>
          </rPr>
          <t>end_date</t>
        </r>
        <r>
          <rPr>
            <sz val="9"/>
            <color indexed="81"/>
            <rFont val="Tahoma"/>
            <family val="2"/>
          </rPr>
          <t>-</t>
        </r>
        <r>
          <rPr>
            <i/>
            <sz val="9"/>
            <color indexed="81"/>
            <rFont val="Tahoma"/>
            <family val="2"/>
          </rPr>
          <t>start_date</t>
        </r>
        <r>
          <rPr>
            <sz val="9"/>
            <color indexed="81"/>
            <rFont val="Tahoma"/>
            <family val="2"/>
          </rPr>
          <t>+1.</t>
        </r>
      </text>
    </comment>
    <comment ref="D29" authorId="0" shapeId="0" xr:uid="{947C9CF5-0BC9-4402-BF65-BE126C2DF467}">
      <text>
        <r>
          <rPr>
            <b/>
            <sz val="9"/>
            <color indexed="81"/>
            <rFont val="Tahoma"/>
            <family val="2"/>
          </rPr>
          <t>Labels:</t>
        </r>
        <r>
          <rPr>
            <sz val="9"/>
            <color indexed="81"/>
            <rFont val="Tahoma"/>
            <family val="2"/>
          </rPr>
          <t xml:space="preserve">
The data labels used in the chart refer to this column. Text wrapping within data labels is difficult to control, but you can force a new line within the text by pressing Alt+Enter while typing in a cell to enter a carriage return.</t>
        </r>
      </text>
    </comment>
    <comment ref="E29" authorId="0" shapeId="0" xr:uid="{B23221C4-9995-4D4F-8588-F6B7790FFE78}">
      <text>
        <r>
          <rPr>
            <b/>
            <sz val="9"/>
            <color indexed="81"/>
            <rFont val="Tahoma"/>
            <family val="2"/>
          </rPr>
          <t>Vertical Position:</t>
        </r>
        <r>
          <rPr>
            <sz val="9"/>
            <color indexed="81"/>
            <rFont val="Tahoma"/>
            <family val="2"/>
          </rPr>
          <t xml:space="preserve">
Edit the vertical position of each task to avoid overlap. To use a different vertical scale, format the vertical axis to adjust the Minimum and Maximum bounds.</t>
        </r>
      </text>
    </comment>
    <comment ref="F29" authorId="0" shapeId="0" xr:uid="{F986E035-4AEA-46EF-B440-73DDBC53A970}">
      <text>
        <r>
          <rPr>
            <b/>
            <sz val="9"/>
            <color indexed="81"/>
            <rFont val="Tahoma"/>
            <family val="2"/>
          </rPr>
          <t>Vertical Line:</t>
        </r>
        <r>
          <rPr>
            <sz val="9"/>
            <color indexed="81"/>
            <rFont val="Tahoma"/>
            <family val="2"/>
          </rPr>
          <t xml:space="preserve">
Defines the length of the vertical leader line for each task. To extend the leader line all the way to the horizontal axis, set the vertical line length equal to the vertical position. To extend the leader line to the previous task, set the vertical line length equal to the vertical position minus the vertical position of the previous task.</t>
        </r>
      </text>
    </comment>
  </commentList>
</comments>
</file>

<file path=xl/sharedStrings.xml><?xml version="1.0" encoding="utf-8"?>
<sst xmlns="http://schemas.openxmlformats.org/spreadsheetml/2006/main" count="38" uniqueCount="36">
  <si>
    <t>Date</t>
  </si>
  <si>
    <t>Position</t>
  </si>
  <si>
    <t>Label</t>
  </si>
  <si>
    <t>Insert new rows above this one</t>
  </si>
  <si>
    <t>Duration</t>
  </si>
  <si>
    <t>End</t>
  </si>
  <si>
    <t>Milestones</t>
  </si>
  <si>
    <t>Tasks</t>
  </si>
  <si>
    <t>Start</t>
  </si>
  <si>
    <t>Vert. Position</t>
  </si>
  <si>
    <t>Vert. Line</t>
  </si>
  <si>
    <t>About This Template</t>
  </si>
  <si>
    <t>More Timeline Templates</t>
  </si>
  <si>
    <t>About Vertex42</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</si>
  <si>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</si>
  <si>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Vertex42.com provides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</si>
  <si>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PROJECT TIMELINE by Vertex42.com</t>
  </si>
  <si>
    <t>More Templates</t>
  </si>
  <si>
    <t>More Project Management Templates</t>
  </si>
  <si>
    <t>Visit Vertex42.com to download other timeline and project management templates.</t>
  </si>
  <si>
    <t>https://www.vertex42.com/ExcelTemplates/project-timeline.html</t>
  </si>
  <si>
    <t>TIMELINE TEMPLATES by Vertex42.com</t>
  </si>
  <si>
    <t>https://www.vertex42.com/ExcelTemplates/timeline.html</t>
  </si>
  <si>
    <t>•  Enter a vertical position between -100 and 50</t>
  </si>
  <si>
    <t>•  Milestone leader lines are Y Error bars</t>
  </si>
  <si>
    <t>•  Task leader lines are Y Error bars</t>
  </si>
  <si>
    <t>Tips for Using this Template</t>
  </si>
  <si>
    <t>•  Format the horizontal axis to set min/max bounds</t>
  </si>
  <si>
    <t>•  Insert and delete entire rows when editing the data tables</t>
  </si>
  <si>
    <t>•  Read cell comments in the table header row for more information</t>
  </si>
  <si>
    <t>•  Avoid leaving the label column blank</t>
  </si>
  <si>
    <t>Other Notes</t>
  </si>
  <si>
    <t>•  Task durations are X Error bars</t>
  </si>
  <si>
    <t>•  Format individual data labels or markers to highlight specific events</t>
  </si>
  <si>
    <t>This template uses a scatter chart with data labels and error bars to create a project timeline that shows both milestones and tasks with durations. Unlike a Gantt chart, which shows each task on a separate row, you control the vertical positioning of tasks within the timeline. You can specify the length of the vertical leader line to help show task dependencies.</t>
  </si>
  <si>
    <t>This type of project timeline is mainly useful for a general overview of a project rather than showing a detailed work breakdown 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</si>
</sst>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11"/>
      <color theme="4" tint="-0.249977111117893"/>
      <name val="Calibri"/>
      <family val="2"/>
      <scheme val="minor"/>
    </font>
    <font>
      <b/>
      <sz val="11"/>
      <color theme="4" tint="-0.249977111117893"/>
      <name val="Calibri"/>
      <family val="2"/>
      <scheme val="minor"/>
    </font>
    <font>
      <b/>
      <sz val="14"/>
      <color theme="0"/>
      <name val="Calibri"/>
      <family val="2"/>
      <scheme val="minor"/>
    </font>
    <font>
      <b/>
      <sz val="16"/>
      <color theme="1"/>
      <name val="Calibri Light"/>
      <family val="2"/>
      <scheme val="major"/>
    </font>
    <font>
      <sz val="10"/>
      <color theme="4" tint="-0.249977111117893"/>
      <name val="Calibri"/>
      <family val="2"/>
      <scheme val="minor"/>
    </font>
    <font>
      <sz val="9"/>
      <color indexed="81"/>
      <name val="Tahoma"/>
      <family val="2"/>
    </font>
    <font>
      <b/>
      <sz val="9"/>
      <color indexed="81"/>
      <name val="Tahoma"/>
      <family val="2"/>
    </font>
    <font>
      <i/>
      <sz val="9"/>
      <color indexed="81"/>
      <name val="Tahoma"/>
      <family val="2"/>
    </font>
    <font>
      <b/>
      <sz val="11"/>
      <color theme="1" tint="0.249977111117893"/>
      <name val="Calibri"/>
      <family val="2"/>
      <scheme val="minor"/>
    </font>
    <font>
      <i/>
      <sz val="9"/>
      <color theme="4" tint="-0.249977111117893"/>
      <name val="Calibri"/>
      <family val="2"/>
      <scheme val="minor"/>
    </font>
    <font>
      <b/>
      <sz val="8"/>
      <color theme="1" tint="0.249977111117893"/>
      <name val="Calibri"/>
      <family val="2"/>
      <scheme val="minor"/>
    </font>
    <font>
      <b/>
      <i/>
      <sz val="8"/>
      <color theme="4" tint="-0.249977111117893"/>
      <name val="Calibri"/>
      <family val="2"/>
      <scheme val="minor"/>
    </font>
    <font>
      <sz val="8"/>
      <color theme="1"/>
      <name val="Calibri"/>
      <family val="2"/>
      <scheme val="minor"/>
    </font>
    <font>
      <sz val="8"/>
      <color theme="4" tint="-0.249977111117893"/>
      <name val="Calibri"/>
      <family val="2"/>
      <scheme val="minor"/>
    </font>
    <font>
      <sz val="10"/>
      <name val="Calibri"/>
      <family val="2"/>
      <scheme val="minor"/>
    </font>
    <font>
      <b/>
      <sz val="12"/>
      <color theme="1" tint="0.34998626667073579"/>
      <name val="Calibri"/>
      <family val="2"/>
      <scheme val="minor"/>
    </font>
    <font>
      <b/>
      <sz val="10"/>
      <name val="Calibri"/>
      <family val="2"/>
      <scheme val="minor"/>
    </font>
    <font>
      <sz val="11"/>
      <color theme="1" tint="0.34998626667073579"/>
      <name val="Calibri"/>
      <family val="2"/>
      <scheme val="minor"/>
    </font>
    <font>
      <b/>
      <sz val="16"/>
      <color theme="4" tint="-0.249977111117893"/>
      <name val="Calibri Light"/>
      <family val="2"/>
      <scheme val="major"/>
    </font>
    <font>
      <sz val="11"/>
      <color rgb="FF1D2129"/>
      <name val="Calibri"/>
      <family val="2"/>
      <scheme val="minor"/>
    </font>
    <font>
      <sz val="20"/>
      <name val="Calibri Light"/>
      <family val="2"/>
      <scheme val="major"/>
    </font>
    <font>
      <u/>
      <sz val="11"/>
      <color rgb="FF0000FF"/>
      <name val="Calibri"/>
      <family val="2"/>
      <scheme val="minor"/>
    </font>
    <font>
      <u/>
      <sz val="14"/>
      <color rgb="FF0000FF"/>
      <name val="Calibri"/>
      <family val="2"/>
      <scheme val="minor"/>
    </font>
    <font>
      <b/>
      <sz val="11"/>
      <color theme="1" tint="0.34998626667073579"/>
      <name val="Calibri"/>
      <family val="2"/>
      <scheme val="minor"/>
    </font>
    <font>
      <sz val="10"/>
      <color theme="1" tint="0.499984740745262"/>
      <name val="Calibri"/>
      <family val="2"/>
      <scheme val="minor"/>
    </font>
    <font>
      <b/>
      <sz val="11"/>
      <color theme="4" tint="-0.499984740745262"/>
      <name val="Calibri"/>
      <family val="2"/>
      <scheme val="minor"/>
    </font>
    <font>
      <sz val="10"/>
      <color theme="1" tint="0.34998626667073579"/>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4"/>
        <bgColor theme="4"/>
      </patternFill>
    </fill>
  </fills>
  <borders count="3">
    <border>
      <left/>
      <right/>
      <top/>
      <bottom/>
      <diagonal/>
    </border>
    <border>
      <left/>
      <right/>
      <top style="thin">
        <color theme="4"/>
      </top>
      <bottom/>
      <diagonal/>
    </border>
    <border>
      <left/>
      <right/>
      <top style="thin">
        <color theme="4"/>
      </top>
      <bottom style="thin">
        <color theme="4"/>
      </bottom>
      <diagonal/>
    </border>
  </borders>
  <cellStyleXfs count="2">
    <xf numFmtId="0" fontId="0" fillId="0" borderId="0"/>
    <xf numFmtId="0" fontId="22" fillId="0" borderId="0" applyNumberFormat="0" applyFill="0" applyBorder="0" applyAlignment="0" applyProtection="0"/>
  </cellStyleXfs>
  <cellXfs count="33">
    <xf numFmtId="0" fontId="0" fillId="0" borderId="0" xfId="0"/>
    <xf numFmtId="0" fontId="2" fillId="0" borderId="0" xfId="0" applyFont="1" applyAlignment="1">
      <alignment vertical="center"/>
    </xf>
    <xf numFmtId="0" fontId="3" fillId="3" borderId="1" xfId="0" applyFont="1" applyFill="1" applyBorder="1" applyAlignment="1">
      <alignment horizontal="center" vertical="center"/>
    </xf>
    <xf numFmtId="0" fontId="4" fillId="0" borderId="0" xfId="0" applyFont="1"/>
    <xf numFmtId="0" fontId="5" fillId="0" borderId="0" xfId="0" applyFont="1" applyAlignment="1">
      <alignment horizontal="left" vertical="center" indent="1"/>
    </xf>
    <xf numFmtId="0" fontId="1" fillId="0" borderId="0" xfId="0" applyFont="1" applyAlignment="1">
      <alignment horizontal="left" vertical="center"/>
    </xf>
    <xf numFmtId="14" fontId="2" fillId="0" borderId="2" xfId="0" applyNumberFormat="1" applyFont="1" applyBorder="1" applyAlignment="1">
      <alignment horizontal="left" vertical="center" indent="1"/>
    </xf>
    <xf numFmtId="14" fontId="9" fillId="2" borderId="2" xfId="0" applyNumberFormat="1" applyFont="1" applyFill="1" applyBorder="1" applyAlignment="1">
      <alignment horizontal="center" vertical="center"/>
    </xf>
    <xf numFmtId="0" fontId="9" fillId="2" borderId="2" xfId="0" applyFont="1" applyFill="1" applyBorder="1" applyAlignment="1">
      <alignment horizontal="center" vertical="center"/>
    </xf>
    <xf numFmtId="14" fontId="9" fillId="0" borderId="2" xfId="0" applyNumberFormat="1" applyFont="1" applyBorder="1" applyAlignment="1">
      <alignment horizontal="center" vertical="center"/>
    </xf>
    <xf numFmtId="0" fontId="9" fillId="0" borderId="2" xfId="0" applyFont="1" applyBorder="1" applyAlignment="1">
      <alignment horizontal="center" vertical="center"/>
    </xf>
    <xf numFmtId="4" fontId="2" fillId="0" borderId="2" xfId="0" applyNumberFormat="1" applyFont="1" applyBorder="1" applyAlignment="1">
      <alignment horizontal="left" vertical="center" indent="1"/>
    </xf>
    <xf numFmtId="14" fontId="10" fillId="2" borderId="2" xfId="0" applyNumberFormat="1" applyFont="1" applyFill="1" applyBorder="1" applyAlignment="1">
      <alignment horizontal="left" vertical="center" indent="1"/>
    </xf>
    <xf numFmtId="14" fontId="11" fillId="2" borderId="2" xfId="0" applyNumberFormat="1" applyFont="1" applyFill="1" applyBorder="1" applyAlignment="1">
      <alignment horizontal="center" vertical="center"/>
    </xf>
    <xf numFmtId="0" fontId="11" fillId="2" borderId="2" xfId="0" applyFont="1" applyFill="1" applyBorder="1" applyAlignment="1">
      <alignment horizontal="center" vertical="center"/>
    </xf>
    <xf numFmtId="14" fontId="12" fillId="2" borderId="2" xfId="0" applyNumberFormat="1" applyFont="1" applyFill="1" applyBorder="1" applyAlignment="1">
      <alignment horizontal="left" vertical="center" indent="1"/>
    </xf>
    <xf numFmtId="0" fontId="13" fillId="0" borderId="0" xfId="0" applyFont="1"/>
    <xf numFmtId="0" fontId="14" fillId="0" borderId="0" xfId="0" applyFont="1" applyAlignment="1">
      <alignment horizontal="left" vertical="center"/>
    </xf>
    <xf numFmtId="0" fontId="15" fillId="0" borderId="0" xfId="0" applyFont="1" applyAlignment="1">
      <alignment vertical="top"/>
    </xf>
    <xf numFmtId="0" fontId="15" fillId="0" borderId="0" xfId="0" applyFont="1"/>
    <xf numFmtId="0" fontId="16" fillId="0" borderId="0" xfId="0" applyFont="1" applyAlignment="1">
      <alignment horizontal="left" vertical="center"/>
    </xf>
    <xf numFmtId="0" fontId="17" fillId="0" borderId="0" xfId="0" applyFont="1" applyAlignment="1">
      <alignment horizontal="left" vertical="center"/>
    </xf>
    <xf numFmtId="0" fontId="18" fillId="0" borderId="0" xfId="0" applyFont="1" applyAlignment="1">
      <alignment vertical="center"/>
    </xf>
    <xf numFmtId="0" fontId="15" fillId="0" borderId="0" xfId="0" applyFont="1" applyAlignment="1">
      <alignment horizontal="left" vertical="center"/>
    </xf>
    <xf numFmtId="0" fontId="19" fillId="0" borderId="0" xfId="0" applyFont="1" applyAlignment="1">
      <alignment vertical="center"/>
    </xf>
    <xf numFmtId="0" fontId="20" fillId="0" borderId="0" xfId="0" applyFont="1" applyAlignment="1">
      <alignment horizontal="left" vertical="top" wrapText="1" indent="1"/>
    </xf>
    <xf numFmtId="0" fontId="21" fillId="0" borderId="0" xfId="0" applyFont="1"/>
    <xf numFmtId="0" fontId="23" fillId="0" borderId="0" xfId="1" applyFont="1" applyAlignment="1">
      <alignment horizontal="left" indent="1"/>
    </xf>
    <xf numFmtId="0" fontId="24" fillId="0" borderId="0" xfId="1" applyFont="1" applyAlignment="1">
      <alignment vertical="center"/>
    </xf>
    <xf numFmtId="0" fontId="25" fillId="0" borderId="0" xfId="0" applyFont="1" applyAlignment="1">
      <alignment horizontal="left" vertical="top"/>
    </xf>
    <xf numFmtId="0" fontId="26" fillId="0" borderId="0" xfId="0" applyFont="1"/>
    <xf numFmtId="0" fontId="1" fillId="0" borderId="0" xfId="0" applyFont="1" applyAlignment="1">
      <alignment vertical="center"/>
    </xf>
    <xf numFmtId="0" fontId="27" fillId="0" borderId="0" xfId="0" applyFont="1" applyAlignment="1">
      <alignment horizontal="left" vertical="top"/>
    </xf>
  </cellXfs>
  <cellStyles count="2">
    <cellStyle name="Lien hypertexte" xfId="1" builtinId="8" customBuiltin="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1"/>
          <a:lstStyle/>
          <a:p>
            <a:pPr>
              <a:defRPr sz="1800" b="1" i="0" u="none" strike="noStrike" kern="1200" spc="0" baseline="0">
                <a:solidFill>
                  <a:schemeClr val="accent1">
                    <a:lumMod val="75000"/>
                  </a:schemeClr>
                </a:solidFill>
                <a:latin typeface="+mn-lt"/>
                <a:ea typeface="+mn-ea"/>
                <a:cs typeface="+mn-cs"/>
              </a:defRPr>
            </a:pPr>
            <a:r>
              <a:rPr lang="en-US" sz="1800" b="1" baseline="0">
                <a:solidFill>
                  <a:schemeClr val="accent1">
                    <a:lumMod val="75000"/>
                  </a:schemeClr>
                </a:solidFill>
                <a:latin typeface="+mn-lt"/>
              </a:rPr>
              <a:t>Engineering Office - Robot NI</a:t>
            </a:r>
            <a:endParaRPr lang="en-US" sz="1800" b="1">
              <a:solidFill>
                <a:schemeClr val="accent1">
                  <a:lumMod val="75000"/>
                </a:schemeClr>
              </a:solidFill>
              <a:latin typeface="+mn-lt"/>
            </a:endParaRPr>
          </a:p>
        </c:rich>
      </c:tx>
      <c:layout>
        <c:manualLayout>
          <c:xMode val="edge"/>
          <c:yMode val="edge"/>
          <c:x val="0.36354408426755197"/>
          <c:y val="1.1643232649711001E-3"/>
        </c:manualLayout>
      </c:layout>
      <c:overlay val="0"/>
      <c:spPr>
        <a:noFill/>
        <a:ln>
          <a:noFill/>
        </a:ln>
        <a:effectLst/>
      </c:spPr>
    </c:title>
    <c:autoTitleDeleted val="0"/>
    <c:plotArea>
      <c:layout>
        <c:manualLayout>
          <c:layoutTarget val="inner"/>
          <c:xMode val="edge"/>
          <c:yMode val="edge"/>
          <c:x val="5.6978185383786448E-2"/>
          <c:y val="7.8828945337177894E-2"/>
          <c:w val="0.87548045355302873"/>
          <c:h val="0.89401558523578717"/>
        </c:manualLayout>
      </c:layout>
      <c:scatterChart>
        <c:scatterStyle val="lineMarker"/>
        <c:varyColors val="0"/>
        <c:ser>
          <c:idx val="1"/>
          <c:order val="0"/>
          <c:tx>
            <c:v>Tasks</c:v>
          </c:tx>
          <c:spPr>
            <a:ln w="25400" cap="rnd">
              <a:noFill/>
              <a:round/>
            </a:ln>
            <a:effectLst/>
          </c:spPr>
          <c:marker>
            <c:symbol val="diamond"/>
            <c:size val="12"/>
            <c:spPr>
              <a:solidFill>
                <a:schemeClr val="accent1">
                  <a:lumMod val="60000"/>
                  <a:lumOff val="40000"/>
                </a:schemeClr>
              </a:solidFill>
              <a:ln w="9525">
                <a:noFill/>
              </a:ln>
              <a:effectLst/>
            </c:spPr>
          </c:marker>
          <c:dLbls>
            <c:dLbl>
              <c:idx val="0"/>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75F-47E9-9661-163A2FF19FEB}"/>
                </c:ext>
              </c:extLst>
            </c:dLbl>
            <c:dLbl>
              <c:idx val="1"/>
              <c:layout>
                <c:manualLayout>
                  <c:x val="-9.7988934752198428E-2"/>
                  <c:y val="4.0032866878634214E-2"/>
                </c:manualLayout>
              </c:layout>
              <c:tx>
                <c:rich>
                  <a:bodyPr/>
                  <a:lstStyle/>
                  <a:p>
                    <a:fld id="{15F87A25-89F8-4A5E-977A-F5D69209B33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75F-47E9-9661-163A2FF19FEB}"/>
                </c:ext>
              </c:extLst>
            </c:dLbl>
            <c:dLbl>
              <c:idx val="2"/>
              <c:tx>
                <c:rich>
                  <a:bodyPr/>
                  <a:lstStyle/>
                  <a:p>
                    <a:fld id="{40CBAEFD-9F1A-4884-8B43-0F074083B7B6}" type="CELLRANGE">
                      <a:rPr lang="fr-FR"/>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75F-47E9-9661-163A2FF19FEB}"/>
                </c:ext>
              </c:extLst>
            </c:dLbl>
            <c:dLbl>
              <c:idx val="3"/>
              <c:layout>
                <c:manualLayout>
                  <c:x val="-1.9802865427461638E-2"/>
                  <c:y val="-5.7809223717388288E-2"/>
                </c:manualLayout>
              </c:layout>
              <c:tx>
                <c:rich>
                  <a:bodyPr/>
                  <a:lstStyle/>
                  <a:p>
                    <a:fld id="{2AA09E5E-63E2-4F0E-91DE-5D092EF1EBE4}"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75F-47E9-9661-163A2FF19FEB}"/>
                </c:ext>
              </c:extLst>
            </c:dLbl>
            <c:dLbl>
              <c:idx val="4"/>
              <c:layout>
                <c:manualLayout>
                  <c:x val="-7.336021926135379E-2"/>
                  <c:y val="-4.6726615209018649E-3"/>
                </c:manualLayout>
              </c:layout>
              <c:tx>
                <c:rich>
                  <a:bodyPr/>
                  <a:lstStyle/>
                  <a:p>
                    <a:fld id="{6BAD5F24-4572-4567-A7FD-AD452FC89AC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75F-47E9-9661-163A2FF19FEB}"/>
                </c:ext>
              </c:extLst>
            </c:dLbl>
            <c:dLbl>
              <c:idx val="5"/>
              <c:layout>
                <c:manualLayout>
                  <c:x val="-0.10557978994420465"/>
                  <c:y val="9.8574607709209661E-4"/>
                </c:manualLayout>
              </c:layout>
              <c:tx>
                <c:rich>
                  <a:bodyPr/>
                  <a:lstStyle/>
                  <a:p>
                    <a:fld id="{C54A3B63-9920-4535-AF26-49DA96B674C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75F-47E9-9661-163A2FF19FEB}"/>
                </c:ext>
              </c:extLst>
            </c:dLbl>
            <c:dLbl>
              <c:idx val="6"/>
              <c:layout>
                <c:manualLayout>
                  <c:x val="-9.6568292351279034E-2"/>
                  <c:y val="-2.6688577919089479E-3"/>
                </c:manualLayout>
              </c:layout>
              <c:tx>
                <c:rich>
                  <a:bodyPr/>
                  <a:lstStyle/>
                  <a:p>
                    <a:fld id="{EF0219FC-3E0B-49CF-8646-71CC5621910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75F-47E9-9661-163A2FF19FEB}"/>
                </c:ext>
              </c:extLst>
            </c:dLbl>
            <c:dLbl>
              <c:idx val="7"/>
              <c:tx>
                <c:rich>
                  <a:bodyPr/>
                  <a:lstStyle/>
                  <a:p>
                    <a:fld id="{56DCFC94-6253-4B65-A603-DC35B987F206}" type="CELLRANGE">
                      <a:rPr lang="fr-FR"/>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D75F-47E9-9661-163A2FF19FEB}"/>
                </c:ext>
              </c:extLst>
            </c:dLbl>
            <c:dLbl>
              <c:idx val="8"/>
              <c:layout>
                <c:manualLayout>
                  <c:x val="-9.6124741786048962E-2"/>
                  <c:y val="-5.3377155838178958E-3"/>
                </c:manualLayout>
              </c:layout>
              <c:tx>
                <c:rich>
                  <a:bodyPr/>
                  <a:lstStyle/>
                  <a:p>
                    <a:fld id="{7FB118DA-6D40-4146-BFCE-0F6845507C4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D75F-47E9-9661-163A2FF19FEB}"/>
                </c:ext>
              </c:extLst>
            </c:dLbl>
            <c:dLbl>
              <c:idx val="9"/>
              <c:tx>
                <c:rich>
                  <a:bodyPr/>
                  <a:lstStyle/>
                  <a:p>
                    <a:fld id="{62B43C9E-5B73-41A3-9609-BFD258C6A553}" type="CELLRANGE">
                      <a:rPr lang="fr-FR"/>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D75F-47E9-9661-163A2FF19FEB}"/>
                </c:ext>
              </c:extLst>
            </c:dLbl>
            <c:dLbl>
              <c:idx val="10"/>
              <c:layout>
                <c:manualLayout>
                  <c:x val="-2.1388292963414175E-2"/>
                  <c:y val="-5.3296956979781485E-2"/>
                </c:manualLayout>
              </c:layout>
              <c:tx>
                <c:rich>
                  <a:bodyPr/>
                  <a:lstStyle/>
                  <a:p>
                    <a:fld id="{088A9293-0660-4677-8832-796AD67095E0}"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D75F-47E9-9661-163A2FF19FEB}"/>
                </c:ext>
              </c:extLst>
            </c:dLbl>
            <c:dLbl>
              <c:idx val="11"/>
              <c:layout>
                <c:manualLayout>
                  <c:x val="-0.13009969127473767"/>
                  <c:y val="5.1774397053065135E-3"/>
                </c:manualLayout>
              </c:layout>
              <c:tx>
                <c:rich>
                  <a:bodyPr/>
                  <a:lstStyle/>
                  <a:p>
                    <a:fld id="{66E3EC21-CAD8-4AE4-B5B2-2F163042319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DCE-4002-A173-F48B0829A827}"/>
                </c:ext>
              </c:extLst>
            </c:dLbl>
            <c:dLbl>
              <c:idx val="12"/>
              <c:layout>
                <c:manualLayout>
                  <c:x val="-8.7225220814965958E-3"/>
                  <c:y val="-1.9243044851446556E-2"/>
                </c:manualLayout>
              </c:layout>
              <c:tx>
                <c:rich>
                  <a:bodyPr/>
                  <a:lstStyle/>
                  <a:p>
                    <a:fld id="{EA4573C9-00C5-486A-A767-C80A007A2D7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DCE-4002-A173-F48B0829A827}"/>
                </c:ext>
              </c:extLst>
            </c:dLbl>
            <c:dLbl>
              <c:idx val="13"/>
              <c:tx>
                <c:rich>
                  <a:bodyPr/>
                  <a:lstStyle/>
                  <a:p>
                    <a:fld id="{A64C466B-FD12-4EA9-9392-867A9D6EE1C0}" type="CELLRANGE">
                      <a:rPr lang="fr-FR"/>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ED7-400D-9CE8-CEC5AF562F71}"/>
                </c:ext>
              </c:extLst>
            </c:dLbl>
            <c:dLbl>
              <c:idx val="14"/>
              <c:tx>
                <c:rich>
                  <a:bodyPr/>
                  <a:lstStyle/>
                  <a:p>
                    <a:fld id="{478E2CFA-C987-4FA7-9952-D1815144D103}" type="CELLRANGE">
                      <a:rPr lang="fr-FR"/>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C56-44E4-B7DC-5214CE54F62A}"/>
                </c:ext>
              </c:extLst>
            </c:dLbl>
            <c:dLbl>
              <c:idx val="15"/>
              <c:tx>
                <c:rich>
                  <a:bodyPr/>
                  <a:lstStyle/>
                  <a:p>
                    <a:fld id="{3DA27C85-54A3-4C4F-9E20-AFCB3EB50BF0}" type="CELLRANGE">
                      <a:rPr lang="fr-FR"/>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C56-44E4-B7DC-5214CE54F62A}"/>
                </c:ext>
              </c:extLst>
            </c:dLbl>
            <c:dLbl>
              <c:idx val="16"/>
              <c:layout>
                <c:manualLayout>
                  <c:x val="-8.5131792292504532E-2"/>
                  <c:y val="0"/>
                </c:manualLayout>
              </c:layout>
              <c:tx>
                <c:rich>
                  <a:bodyPr/>
                  <a:lstStyle/>
                  <a:p>
                    <a:fld id="{FCA77324-D5FB-438F-A071-1E42C6CF965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C56-44E4-B7DC-5214CE54F62A}"/>
                </c:ext>
              </c:extLst>
            </c:dLbl>
            <c:dLbl>
              <c:idx val="17"/>
              <c:layout>
                <c:manualLayout>
                  <c:x val="-0.13417147883905925"/>
                  <c:y val="0"/>
                </c:manualLayout>
              </c:layout>
              <c:tx>
                <c:rich>
                  <a:bodyPr/>
                  <a:lstStyle/>
                  <a:p>
                    <a:fld id="{318FAE5B-5694-4FCC-A347-32613709F157}"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18"/>
              <c:tx>
                <c:rich>
                  <a:bodyPr/>
                  <a:lstStyle/>
                  <a:p>
                    <a:endParaRPr lang="en-US"/>
                  </a:p>
                </c:rich>
              </c:tx>
              <c:dLblPos val="l"/>
              <c:showLegendKey val="0"/>
              <c:showVal val="0"/>
              <c:showCatName val="0"/>
              <c:showSerName val="0"/>
              <c:showPercent val="0"/>
              <c:showBubbleSize val="0"/>
              <c:extLst>
                <c:ext xmlns:c15="http://schemas.microsoft.com/office/drawing/2012/chart" uri="{CE6537A1-D6FC-4f65-9D91-7224C49458BB}"/>
              </c:extLst>
            </c:dLbl>
            <c:spPr>
              <a:solidFill>
                <a:schemeClr val="bg1">
                  <a:alpha val="6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0"/>
              </c:ext>
            </c:extLst>
          </c:dLbls>
          <c:errBars>
            <c:errDir val="x"/>
            <c:errBarType val="plus"/>
            <c:errValType val="cust"/>
            <c:noEndCap val="1"/>
            <c:plus>
              <c:numRef>
                <c:f>Timeline!$C$30:$C$48</c:f>
                <c:numCache>
                  <c:formatCode>General</c:formatCode>
                  <c:ptCount val="19"/>
                  <c:pt idx="1">
                    <c:v>2</c:v>
                  </c:pt>
                  <c:pt idx="2">
                    <c:v>62</c:v>
                  </c:pt>
                  <c:pt idx="3">
                    <c:v>40</c:v>
                  </c:pt>
                  <c:pt idx="4">
                    <c:v>65</c:v>
                  </c:pt>
                  <c:pt idx="5">
                    <c:v>36</c:v>
                  </c:pt>
                  <c:pt idx="6">
                    <c:v>9</c:v>
                  </c:pt>
                  <c:pt idx="7">
                    <c:v>20</c:v>
                  </c:pt>
                  <c:pt idx="8">
                    <c:v>12</c:v>
                  </c:pt>
                  <c:pt idx="9">
                    <c:v>127</c:v>
                  </c:pt>
                  <c:pt idx="10">
                    <c:v>28</c:v>
                  </c:pt>
                  <c:pt idx="11">
                    <c:v>13</c:v>
                  </c:pt>
                  <c:pt idx="12">
                    <c:v>10</c:v>
                  </c:pt>
                  <c:pt idx="13">
                    <c:v>2</c:v>
                  </c:pt>
                  <c:pt idx="14">
                    <c:v>39</c:v>
                  </c:pt>
                  <c:pt idx="15">
                    <c:v>57</c:v>
                  </c:pt>
                  <c:pt idx="16">
                    <c:v>6</c:v>
                  </c:pt>
                  <c:pt idx="17">
                    <c:v>39</c:v>
                  </c:pt>
                </c:numCache>
              </c:numRef>
            </c:plus>
            <c:minus>
              <c:numLit>
                <c:formatCode>General</c:formatCode>
                <c:ptCount val="1"/>
                <c:pt idx="0">
                  <c:v>1</c:v>
                </c:pt>
              </c:numLit>
            </c:minus>
            <c:spPr>
              <a:noFill/>
              <a:ln w="152400" cap="flat" cmpd="sng" algn="ctr">
                <a:solidFill>
                  <a:schemeClr val="accent1"/>
                </a:solidFill>
                <a:round/>
              </a:ln>
              <a:effectLst/>
            </c:spPr>
          </c:errBars>
          <c:errBars>
            <c:errDir val="y"/>
            <c:errBarType val="minus"/>
            <c:errValType val="cust"/>
            <c:noEndCap val="1"/>
            <c:plus>
              <c:numLit>
                <c:formatCode>General</c:formatCode>
                <c:ptCount val="1"/>
                <c:pt idx="0">
                  <c:v>0</c:v>
                </c:pt>
              </c:numLit>
            </c:plus>
            <c:minus>
              <c:numRef>
                <c:f>Timeline!$F$30:$F$48</c:f>
                <c:numCache>
                  <c:formatCode>General</c:formatCode>
                  <c:ptCount val="19"/>
                  <c:pt idx="1">
                    <c:v>-90</c:v>
                  </c:pt>
                  <c:pt idx="2">
                    <c:v>-75</c:v>
                  </c:pt>
                  <c:pt idx="3">
                    <c:v>-60</c:v>
                  </c:pt>
                  <c:pt idx="4">
                    <c:v>-30</c:v>
                  </c:pt>
                  <c:pt idx="5">
                    <c:v>-60</c:v>
                  </c:pt>
                  <c:pt idx="6">
                    <c:v>-15</c:v>
                  </c:pt>
                  <c:pt idx="7">
                    <c:v>-45</c:v>
                  </c:pt>
                  <c:pt idx="8">
                    <c:v>-15</c:v>
                  </c:pt>
                  <c:pt idx="9">
                    <c:v>-90</c:v>
                  </c:pt>
                  <c:pt idx="10">
                    <c:v>-80</c:v>
                  </c:pt>
                  <c:pt idx="11">
                    <c:v>-15</c:v>
                  </c:pt>
                  <c:pt idx="12">
                    <c:v>-22</c:v>
                  </c:pt>
                  <c:pt idx="13">
                    <c:v>-15</c:v>
                  </c:pt>
                  <c:pt idx="14">
                    <c:v>-28</c:v>
                  </c:pt>
                  <c:pt idx="15">
                    <c:v>-48</c:v>
                  </c:pt>
                  <c:pt idx="16">
                    <c:v>-39</c:v>
                  </c:pt>
                  <c:pt idx="17">
                    <c:v>-70</c:v>
                  </c:pt>
                </c:numCache>
              </c:numRef>
            </c:minus>
            <c:spPr>
              <a:noFill/>
              <a:ln w="12700" cap="flat" cmpd="sng" algn="ctr">
                <a:solidFill>
                  <a:schemeClr val="accent1">
                    <a:lumMod val="75000"/>
                    <a:alpha val="70000"/>
                  </a:schemeClr>
                </a:solidFill>
                <a:prstDash val="solid"/>
                <a:round/>
              </a:ln>
              <a:effectLst/>
            </c:spPr>
          </c:errBars>
          <c:xVal>
            <c:numRef>
              <c:f>Timeline!$A$30:$A$48</c:f>
              <c:numCache>
                <c:formatCode>m/d/yyyy</c:formatCode>
                <c:ptCount val="19"/>
                <c:pt idx="1">
                  <c:v>43376</c:v>
                </c:pt>
                <c:pt idx="2">
                  <c:v>43383</c:v>
                </c:pt>
                <c:pt idx="3">
                  <c:v>43446</c:v>
                </c:pt>
                <c:pt idx="4">
                  <c:v>43383</c:v>
                </c:pt>
                <c:pt idx="5">
                  <c:v>43403</c:v>
                </c:pt>
                <c:pt idx="6">
                  <c:v>43401</c:v>
                </c:pt>
                <c:pt idx="7">
                  <c:v>43424</c:v>
                </c:pt>
                <c:pt idx="8">
                  <c:v>43429</c:v>
                </c:pt>
                <c:pt idx="9">
                  <c:v>43405</c:v>
                </c:pt>
                <c:pt idx="10">
                  <c:v>43448</c:v>
                </c:pt>
                <c:pt idx="11">
                  <c:v>43472</c:v>
                </c:pt>
                <c:pt idx="12">
                  <c:v>43486</c:v>
                </c:pt>
                <c:pt idx="13">
                  <c:v>43524</c:v>
                </c:pt>
                <c:pt idx="14">
                  <c:v>43479</c:v>
                </c:pt>
                <c:pt idx="15">
                  <c:v>43472</c:v>
                </c:pt>
                <c:pt idx="16">
                  <c:v>43526</c:v>
                </c:pt>
                <c:pt idx="17">
                  <c:v>43490</c:v>
                </c:pt>
              </c:numCache>
            </c:numRef>
          </c:xVal>
          <c:yVal>
            <c:numRef>
              <c:f>Timeline!$E$30:$E$48</c:f>
              <c:numCache>
                <c:formatCode>General</c:formatCode>
                <c:ptCount val="19"/>
                <c:pt idx="1">
                  <c:v>-90</c:v>
                </c:pt>
                <c:pt idx="2">
                  <c:v>-75</c:v>
                </c:pt>
                <c:pt idx="3">
                  <c:v>-60</c:v>
                </c:pt>
                <c:pt idx="4">
                  <c:v>-30</c:v>
                </c:pt>
                <c:pt idx="5">
                  <c:v>-60</c:v>
                </c:pt>
                <c:pt idx="6">
                  <c:v>-15</c:v>
                </c:pt>
                <c:pt idx="7">
                  <c:v>-45</c:v>
                </c:pt>
                <c:pt idx="8">
                  <c:v>-15</c:v>
                </c:pt>
                <c:pt idx="9">
                  <c:v>-90</c:v>
                </c:pt>
                <c:pt idx="10">
                  <c:v>-80</c:v>
                </c:pt>
                <c:pt idx="11">
                  <c:v>-15</c:v>
                </c:pt>
                <c:pt idx="12">
                  <c:v>-22</c:v>
                </c:pt>
                <c:pt idx="13">
                  <c:v>-15</c:v>
                </c:pt>
                <c:pt idx="14">
                  <c:v>-28</c:v>
                </c:pt>
                <c:pt idx="15">
                  <c:v>-48</c:v>
                </c:pt>
                <c:pt idx="16">
                  <c:v>-39</c:v>
                </c:pt>
                <c:pt idx="17">
                  <c:v>-70</c:v>
                </c:pt>
              </c:numCache>
            </c:numRef>
          </c:yVal>
          <c:smooth val="0"/>
          <c:extLst>
            <c:ext xmlns:c15="http://schemas.microsoft.com/office/drawing/2012/chart" uri="{02D57815-91ED-43cb-92C2-25804820EDAC}">
              <c15:datalabelsRange>
                <c15:f>Timeline!$D$30:$D$48</c15:f>
                <c15:dlblRangeCache>
                  <c:ptCount val="19"/>
                  <c:pt idx="1">
                    <c:v>NI DAYS - 05/10</c:v>
                  </c:pt>
                  <c:pt idx="2">
                    <c:v>Supply PCB 
10/10</c:v>
                  </c:pt>
                  <c:pt idx="3">
                    <c:v>Data PCB 
12/12</c:v>
                  </c:pt>
                  <c:pt idx="4">
                    <c:v>Thrower 
10/10</c:v>
                  </c:pt>
                  <c:pt idx="5">
                    <c:v>Raspberry PI 
30/10</c:v>
                  </c:pt>
                  <c:pt idx="6">
                    <c:v>Executable 
28/10</c:v>
                  </c:pt>
                  <c:pt idx="7">
                    <c:v>Scénarii 1 &amp; 2 
20/11</c:v>
                  </c:pt>
                  <c:pt idx="8">
                    <c:v>JPO making
25/11</c:v>
                  </c:pt>
                  <c:pt idx="9">
                    <c:v>M1 management
01/11</c:v>
                  </c:pt>
                  <c:pt idx="10">
                    <c:v>Docs/Pres 
14/12</c:v>
                  </c:pt>
                  <c:pt idx="11">
                    <c:v>Code corrections 
07/01</c:v>
                  </c:pt>
                  <c:pt idx="12">
                    <c:v>Sorter 
21/01</c:v>
                  </c:pt>
                  <c:pt idx="13">
                    <c:v>JPO making 
28/02</c:v>
                  </c:pt>
                  <c:pt idx="14">
                    <c:v>PCB integ. 
14/01</c:v>
                  </c:pt>
                  <c:pt idx="15">
                    <c:v>Lidar 
07/01</c:v>
                  </c:pt>
                  <c:pt idx="16">
                    <c:v>Doc/Pres. 
02/03</c:v>
                  </c:pt>
                  <c:pt idx="17">
                    <c:v>Assembling robot 
25/01</c:v>
                  </c:pt>
                  <c:pt idx="18">
                    <c:v>Insert new rows above this one</c:v>
                  </c:pt>
                </c15:dlblRangeCache>
              </c15:datalabelsRange>
            </c:ext>
            <c:ext xmlns:c16="http://schemas.microsoft.com/office/drawing/2014/chart" uri="{C3380CC4-5D6E-409C-BE32-E72D297353CC}">
              <c16:uniqueId val="{00000007-D75F-47E9-9661-163A2FF19FEB}"/>
            </c:ext>
          </c:extLst>
        </c:ser>
        <c:ser>
          <c:idx val="0"/>
          <c:order val="1"/>
          <c:tx>
            <c:v>Milestones</c:v>
          </c:tx>
          <c:spPr>
            <a:ln w="25400" cap="rnd">
              <a:noFill/>
              <a:round/>
            </a:ln>
            <a:effectLst/>
          </c:spPr>
          <c:marker>
            <c:symbol val="diamond"/>
            <c:size val="14"/>
            <c:spPr>
              <a:solidFill>
                <a:schemeClr val="tx1"/>
              </a:solidFill>
              <a:ln w="9525">
                <a:noFill/>
              </a:ln>
              <a:effectLst/>
            </c:spPr>
          </c:marker>
          <c:dPt>
            <c:idx val="0"/>
            <c:marker>
              <c:spPr>
                <a:solidFill>
                  <a:schemeClr val="accent6">
                    <a:lumMod val="75000"/>
                  </a:schemeClr>
                </a:solidFill>
                <a:ln w="9525">
                  <a:noFill/>
                </a:ln>
                <a:effectLst/>
              </c:spPr>
            </c:marker>
            <c:bubble3D val="0"/>
            <c:extLst>
              <c:ext xmlns:c16="http://schemas.microsoft.com/office/drawing/2014/chart" uri="{C3380CC4-5D6E-409C-BE32-E72D297353CC}">
                <c16:uniqueId val="{00000001-D75F-47E9-9661-163A2FF19FEB}"/>
              </c:ext>
            </c:extLst>
          </c:dPt>
          <c:dPt>
            <c:idx val="1"/>
            <c:marker>
              <c:symbol val="circle"/>
              <c:size val="14"/>
              <c:spPr>
                <a:solidFill>
                  <a:srgbClr val="00B050"/>
                </a:solidFill>
                <a:ln w="9525">
                  <a:noFill/>
                </a:ln>
                <a:effectLst/>
              </c:spPr>
            </c:marker>
            <c:bubble3D val="0"/>
            <c:extLst>
              <c:ext xmlns:c16="http://schemas.microsoft.com/office/drawing/2014/chart" uri="{C3380CC4-5D6E-409C-BE32-E72D297353CC}">
                <c16:uniqueId val="{00000002-D75F-47E9-9661-163A2FF19FEB}"/>
              </c:ext>
            </c:extLst>
          </c:dPt>
          <c:dPt>
            <c:idx val="5"/>
            <c:marker>
              <c:symbol val="picture"/>
              <c:spPr>
                <a:blipFill>
                  <a:blip xmlns:r="http://schemas.openxmlformats.org/officeDocument/2006/relationships" r:embed="rId1"/>
                  <a:stretch>
                    <a:fillRect/>
                  </a:stretch>
                </a:blipFill>
                <a:ln w="9525">
                  <a:noFill/>
                </a:ln>
                <a:effectLst/>
              </c:spPr>
            </c:marker>
            <c:bubble3D val="0"/>
            <c:extLst>
              <c:ext xmlns:c16="http://schemas.microsoft.com/office/drawing/2014/chart" uri="{C3380CC4-5D6E-409C-BE32-E72D297353CC}">
                <c16:uniqueId val="{00000003-5EF8-4134-955B-52DF741E0001}"/>
              </c:ext>
            </c:extLst>
          </c:dPt>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5F-47E9-9661-163A2FF19FEB}"/>
                </c:ext>
              </c:extLst>
            </c:dLbl>
            <c:dLbl>
              <c:idx val="1"/>
              <c:tx>
                <c:rich>
                  <a:bodyPr/>
                  <a:lstStyle/>
                  <a:p>
                    <a:fld id="{98AE0795-13D8-4D1F-97B9-D69396A46DAF}"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D75F-47E9-9661-163A2FF19FEB}"/>
                </c:ext>
              </c:extLst>
            </c:dLbl>
            <c:dLbl>
              <c:idx val="2"/>
              <c:tx>
                <c:rich>
                  <a:bodyPr/>
                  <a:lstStyle/>
                  <a:p>
                    <a:fld id="{B6BCE53B-52BD-42AA-A7A3-F6A325B98AF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D75F-47E9-9661-163A2FF19FEB}"/>
                </c:ext>
              </c:extLst>
            </c:dLbl>
            <c:dLbl>
              <c:idx val="3"/>
              <c:tx>
                <c:rich>
                  <a:bodyPr/>
                  <a:lstStyle/>
                  <a:p>
                    <a:fld id="{331EEE3C-D263-46DA-8A45-9433472F34E0}"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D75F-47E9-9661-163A2FF19FEB}"/>
                </c:ext>
              </c:extLst>
            </c:dLbl>
            <c:dLbl>
              <c:idx val="4"/>
              <c:tx>
                <c:rich>
                  <a:bodyPr/>
                  <a:lstStyle/>
                  <a:p>
                    <a:fld id="{B3646E35-E8E8-44AB-B24C-5ED809AD5027}"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D75F-47E9-9661-163A2FF19FEB}"/>
                </c:ext>
              </c:extLst>
            </c:dLbl>
            <c:dLbl>
              <c:idx val="5"/>
              <c:tx>
                <c:rich>
                  <a:bodyPr/>
                  <a:lstStyle/>
                  <a:p>
                    <a:fld id="{9A508A97-9926-4DD2-928D-DCCB2E0E237E}"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EF8-4134-955B-52DF741E0001}"/>
                </c:ext>
              </c:extLst>
            </c:dLbl>
            <c:dLbl>
              <c:idx val="6"/>
              <c:tx>
                <c:rich>
                  <a:bodyPr/>
                  <a:lstStyle/>
                  <a:p>
                    <a:fld id="{B4F86B80-103C-445D-944D-CE8ECB6957DB}" type="CELLRANGE">
                      <a:rPr lang="fr-FR"/>
                      <a:pPr/>
                      <a:t>[PLAGECELL]</a:t>
                    </a:fld>
                    <a:endParaRPr lang="fr-FR"/>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C8C-4300-842C-112B50BE05C8}"/>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extLst>
            </c:dLbl>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percentage"/>
            <c:noEndCap val="1"/>
            <c:val val="100"/>
            <c:spPr>
              <a:noFill/>
              <a:ln w="12700" cap="flat" cmpd="sng" algn="ctr">
                <a:solidFill>
                  <a:schemeClr val="tx1">
                    <a:lumMod val="75000"/>
                    <a:lumOff val="25000"/>
                  </a:schemeClr>
                </a:solidFill>
                <a:prstDash val="dash"/>
                <a:round/>
              </a:ln>
              <a:effectLst/>
            </c:spPr>
          </c:errBars>
          <c:xVal>
            <c:numRef>
              <c:f>Timeline!$A$52:$A$59</c:f>
              <c:numCache>
                <c:formatCode>m/d/yyyy</c:formatCode>
                <c:ptCount val="8"/>
                <c:pt idx="1">
                  <c:v>43378</c:v>
                </c:pt>
                <c:pt idx="2">
                  <c:v>43425</c:v>
                </c:pt>
                <c:pt idx="3">
                  <c:v>43442</c:v>
                </c:pt>
                <c:pt idx="4">
                  <c:v>43483</c:v>
                </c:pt>
                <c:pt idx="5">
                  <c:v>43532</c:v>
                </c:pt>
                <c:pt idx="6">
                  <c:v>43526</c:v>
                </c:pt>
              </c:numCache>
            </c:numRef>
          </c:xVal>
          <c:yVal>
            <c:numRef>
              <c:f>Timeline!$E$52:$E$59</c:f>
              <c:numCache>
                <c:formatCode>General</c:formatCode>
                <c:ptCount val="8"/>
                <c:pt idx="1">
                  <c:v>30</c:v>
                </c:pt>
                <c:pt idx="2">
                  <c:v>10</c:v>
                </c:pt>
                <c:pt idx="3">
                  <c:v>40</c:v>
                </c:pt>
                <c:pt idx="4">
                  <c:v>10</c:v>
                </c:pt>
                <c:pt idx="5">
                  <c:v>15</c:v>
                </c:pt>
                <c:pt idx="6">
                  <c:v>40</c:v>
                </c:pt>
              </c:numCache>
            </c:numRef>
          </c:yVal>
          <c:smooth val="0"/>
          <c:extLst>
            <c:ext xmlns:c15="http://schemas.microsoft.com/office/drawing/2012/chart" uri="{02D57815-91ED-43cb-92C2-25804820EDAC}">
              <c15:datalabelsRange>
                <c15:f>Timeline!$D$52:$D$59</c15:f>
                <c15:dlblRangeCache>
                  <c:ptCount val="8"/>
                  <c:pt idx="1">
                    <c:v>Début des projets à l'ISEN, 05/10/18</c:v>
                  </c:pt>
                  <c:pt idx="2">
                    <c:v>Pitch n°1 :  Project Management, 21/11/18</c:v>
                  </c:pt>
                  <c:pt idx="3">
                    <c:v>JPO ISEN, 08/12/18</c:v>
                  </c:pt>
                  <c:pt idx="4">
                    <c:v>Pitch n°2 : Global Technical,  18/01/19</c:v>
                  </c:pt>
                  <c:pt idx="5">
                    <c:v>Pitch final , 08/03/19</c:v>
                  </c:pt>
                  <c:pt idx="6">
                    <c:v>JPO ISEN, 02/03/19</c:v>
                  </c:pt>
                  <c:pt idx="7">
                    <c:v>Insert new rows above this one</c:v>
                  </c:pt>
                </c15:dlblRangeCache>
              </c15:datalabelsRange>
            </c:ext>
            <c:ext xmlns:c16="http://schemas.microsoft.com/office/drawing/2014/chart" uri="{C3380CC4-5D6E-409C-BE32-E72D297353CC}">
              <c16:uniqueId val="{00000000-D75F-47E9-9661-163A2FF19FEB}"/>
            </c:ext>
          </c:extLst>
        </c:ser>
        <c:dLbls>
          <c:showLegendKey val="0"/>
          <c:showVal val="0"/>
          <c:showCatName val="0"/>
          <c:showSerName val="0"/>
          <c:showPercent val="0"/>
          <c:showBubbleSize val="0"/>
        </c:dLbls>
        <c:axId val="484833240"/>
        <c:axId val="484834552"/>
      </c:scatterChart>
      <c:valAx>
        <c:axId val="484833240"/>
        <c:scaling>
          <c:orientation val="minMax"/>
          <c:min val="43370"/>
        </c:scaling>
        <c:delete val="0"/>
        <c:axPos val="b"/>
        <c:numFmt formatCode="dd/mm/yy" sourceLinked="0"/>
        <c:majorTickMark val="cross"/>
        <c:minorTickMark val="none"/>
        <c:tickLblPos val="nextTo"/>
        <c:spPr>
          <a:noFill/>
          <a:ln w="63500" cap="flat" cmpd="sng" algn="ctr">
            <a:solidFill>
              <a:schemeClr val="tx1">
                <a:lumMod val="50000"/>
                <a:lumOff val="50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fr-FR"/>
          </a:p>
        </c:txPr>
        <c:crossAx val="484834552"/>
        <c:crosses val="autoZero"/>
        <c:crossBetween val="midCat"/>
        <c:majorUnit val="30"/>
      </c:valAx>
      <c:valAx>
        <c:axId val="484834552"/>
        <c:scaling>
          <c:orientation val="minMax"/>
          <c:max val="50"/>
          <c:min val="-100"/>
        </c:scaling>
        <c:delete val="1"/>
        <c:axPos val="l"/>
        <c:numFmt formatCode="General" sourceLinked="1"/>
        <c:majorTickMark val="out"/>
        <c:minorTickMark val="none"/>
        <c:tickLblPos val="nextTo"/>
        <c:crossAx val="484833240"/>
        <c:crosses val="autoZero"/>
        <c:crossBetween val="midCat"/>
        <c:majorUnit val="2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38100" cap="flat" cmpd="sng" algn="ctr">
      <a:solidFill>
        <a:schemeClr val="bg1">
          <a:lumMod val="85000"/>
        </a:schemeClr>
      </a:solidFill>
      <a:round/>
    </a:ln>
    <a:effectLst/>
  </c:spPr>
  <c:txPr>
    <a:bodyPr/>
    <a:lstStyle/>
    <a:p>
      <a:pPr>
        <a:defRPr/>
      </a:pPr>
      <a:endParaRPr lang="fr-FR"/>
    </a:p>
  </c:txPr>
  <c:printSettings>
    <c:headerFooter/>
    <c:pageMargins b="0.75" l="0.7" r="0.7" t="0.75" header="0.3" footer="0.3"/>
    <c:pageSetup orientation="landscape"/>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vertex42.com/?utm_source=ms&amp;utm_medium=file&amp;utm_campaign=office&amp;utm_term=timeline&amp;utm_content=logo" TargetMode="Externa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hyperlink" Target="https://www.vertex42.com/?utm_source=ms&amp;utm_medium=file&amp;utm_campaign=office&amp;utm_term=timeline&amp;utm_content=logo" TargetMode="External"/></Relationships>
</file>

<file path=xl/drawings/drawing1.xml><?xml version="1.0" encoding="utf-8"?>
<xdr:wsDr xmlns:xdr="http://schemas.openxmlformats.org/drawingml/2006/spreadsheetDrawing" xmlns:a="http://schemas.openxmlformats.org/drawingml/2006/main">
  <xdr:twoCellAnchor>
    <xdr:from>
      <xdr:col>0</xdr:col>
      <xdr:colOff>23813</xdr:colOff>
      <xdr:row>0</xdr:row>
      <xdr:rowOff>122424</xdr:rowOff>
    </xdr:from>
    <xdr:to>
      <xdr:col>6</xdr:col>
      <xdr:colOff>1</xdr:colOff>
      <xdr:row>26</xdr:row>
      <xdr:rowOff>25132</xdr:rowOff>
    </xdr:to>
    <xdr:graphicFrame macro="">
      <xdr:nvGraphicFramePr>
        <xdr:cNvPr id="3" name="Chart 2" descr="Project timeline chart">
          <a:extLst>
            <a:ext uri="{FF2B5EF4-FFF2-40B4-BE49-F238E27FC236}">
              <a16:creationId xmlns:a16="http://schemas.microsoft.com/office/drawing/2014/main" id="{804101E9-334F-4A84-8D62-96D9C4F484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0</xdr:row>
      <xdr:rowOff>66675</xdr:rowOff>
    </xdr:from>
    <xdr:to>
      <xdr:col>8</xdr:col>
      <xdr:colOff>1905000</xdr:colOff>
      <xdr:row>2</xdr:row>
      <xdr:rowOff>114300</xdr:rowOff>
    </xdr:to>
    <xdr:pic>
      <xdr:nvPicPr>
        <xdr:cNvPr id="4" name="Picture 3" descr="Vertex42 logo">
          <a:hlinkClick xmlns:r="http://schemas.openxmlformats.org/officeDocument/2006/relationships" r:id="rId2"/>
          <a:extLst>
            <a:ext uri="{FF2B5EF4-FFF2-40B4-BE49-F238E27FC236}">
              <a16:creationId xmlns:a16="http://schemas.microsoft.com/office/drawing/2014/main" id="{6324F52B-D3EC-4F40-ADA0-198ADBB979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096375" y="66675"/>
          <a:ext cx="1905000" cy="428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9549CDB1-A6FB-48C4-AD33-3E59423C4A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timeline.html?utm_source=ms&amp;utm_medium=file&amp;utm_campaign=office&amp;utm_term=project&amp;utm_content=title" TargetMode="External"/><Relationship Id="rId1" Type="http://schemas.openxmlformats.org/officeDocument/2006/relationships/hyperlink" Target="https://www.vertex42.com/ExcelTemplates/timeline.html?utm_source=ms&amp;utm_medium=file&amp;utm_campaign=office&amp;utm_term=project&amp;utm_content=ur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project-timeline.html?utm_source=ms&amp;utm_medium=file&amp;utm_campaign=office&amp;utm_content=title" TargetMode="External"/><Relationship Id="rId2" Type="http://schemas.openxmlformats.org/officeDocument/2006/relationships/hyperlink" Target="https://www.vertex42.com/ExcelTemplates/excel-project-management.html?utm_source=ms&amp;utm_medium=file&amp;utm_campaign=office&amp;utm_term=timeline&amp;utm_content=more" TargetMode="External"/><Relationship Id="rId1" Type="http://schemas.openxmlformats.org/officeDocument/2006/relationships/hyperlink" Target="https://www.vertex42.com/ExcelTemplates/timeline.html?utm_source=ms&amp;utm_medium=file&amp;utm_campaign=office&amp;utm_term=timeline&amp;utm_content=more"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project-timeline.html?utm_source=ms&amp;utm_medium=file&amp;utm_campaign=office&amp;utm_content=ur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D695-63DB-475B-89F7-AC927F169BD9}">
  <sheetPr>
    <tabColor theme="3" tint="0.79998168889431442"/>
    <pageSetUpPr fitToPage="1"/>
  </sheetPr>
  <dimension ref="A4:J59"/>
  <sheetViews>
    <sheetView showGridLines="0" tabSelected="1" zoomScale="70" zoomScaleNormal="70" workbookViewId="0">
      <selection activeCell="I27" sqref="I27"/>
    </sheetView>
  </sheetViews>
  <sheetFormatPr baseColWidth="10" defaultColWidth="8.7265625" defaultRowHeight="14.5" x14ac:dyDescent="0.35"/>
  <cols>
    <col min="1" max="2" width="17.36328125" customWidth="1"/>
    <col min="3" max="3" width="14.54296875" customWidth="1"/>
    <col min="4" max="4" width="36.90625" customWidth="1"/>
    <col min="5" max="6" width="18.6328125" customWidth="1"/>
    <col min="7" max="7" width="3.6328125" customWidth="1"/>
    <col min="8" max="8" width="5.54296875" customWidth="1"/>
    <col min="9" max="9" width="33.90625" customWidth="1"/>
  </cols>
  <sheetData>
    <row r="4" spans="9:10" x14ac:dyDescent="0.35">
      <c r="I4" s="28" t="s">
        <v>21</v>
      </c>
      <c r="J4" s="28"/>
    </row>
    <row r="5" spans="9:10" x14ac:dyDescent="0.35">
      <c r="I5" s="32" t="s">
        <v>22</v>
      </c>
      <c r="J5" s="29"/>
    </row>
    <row r="6" spans="9:10" x14ac:dyDescent="0.35">
      <c r="I6" s="1"/>
    </row>
    <row r="8" spans="9:10" x14ac:dyDescent="0.35">
      <c r="I8" s="30" t="s">
        <v>26</v>
      </c>
    </row>
    <row r="9" spans="9:10" x14ac:dyDescent="0.35">
      <c r="I9" s="31" t="s">
        <v>28</v>
      </c>
    </row>
    <row r="10" spans="9:10" x14ac:dyDescent="0.35">
      <c r="I10" s="31" t="s">
        <v>30</v>
      </c>
    </row>
    <row r="11" spans="9:10" x14ac:dyDescent="0.35">
      <c r="I11" s="31" t="s">
        <v>27</v>
      </c>
    </row>
    <row r="12" spans="9:10" x14ac:dyDescent="0.35">
      <c r="I12" s="31" t="s">
        <v>23</v>
      </c>
    </row>
    <row r="13" spans="9:10" x14ac:dyDescent="0.35">
      <c r="I13" s="31" t="s">
        <v>33</v>
      </c>
    </row>
    <row r="14" spans="9:10" x14ac:dyDescent="0.35">
      <c r="I14" s="31" t="s">
        <v>29</v>
      </c>
    </row>
    <row r="16" spans="9:10" x14ac:dyDescent="0.35">
      <c r="I16" s="30" t="s">
        <v>31</v>
      </c>
    </row>
    <row r="17" spans="1:9" x14ac:dyDescent="0.35">
      <c r="I17" s="31" t="s">
        <v>24</v>
      </c>
    </row>
    <row r="18" spans="1:9" x14ac:dyDescent="0.35">
      <c r="I18" s="31" t="s">
        <v>25</v>
      </c>
    </row>
    <row r="19" spans="1:9" x14ac:dyDescent="0.35">
      <c r="I19" s="31" t="s">
        <v>32</v>
      </c>
    </row>
    <row r="21" spans="1:9" x14ac:dyDescent="0.35">
      <c r="I21" s="31"/>
    </row>
    <row r="28" spans="1:9" ht="21" x14ac:dyDescent="0.5">
      <c r="A28" s="3" t="s">
        <v>7</v>
      </c>
      <c r="B28" s="3"/>
      <c r="C28" s="3"/>
    </row>
    <row r="29" spans="1:9" ht="21.75" customHeight="1" x14ac:dyDescent="0.35">
      <c r="A29" s="2" t="s">
        <v>8</v>
      </c>
      <c r="B29" s="2" t="s">
        <v>5</v>
      </c>
      <c r="C29" s="2" t="s">
        <v>4</v>
      </c>
      <c r="D29" s="2" t="s">
        <v>2</v>
      </c>
      <c r="E29" s="2" t="s">
        <v>9</v>
      </c>
      <c r="F29" s="2" t="s">
        <v>10</v>
      </c>
    </row>
    <row r="30" spans="1:9" s="16" customFormat="1" ht="10.5" x14ac:dyDescent="0.25">
      <c r="A30" s="13"/>
      <c r="B30" s="13"/>
      <c r="C30" s="14"/>
      <c r="D30" s="15"/>
      <c r="E30" s="14"/>
      <c r="F30" s="14"/>
      <c r="I30" s="17"/>
    </row>
    <row r="31" spans="1:9" ht="18" customHeight="1" x14ac:dyDescent="0.35">
      <c r="A31" s="9">
        <v>43376</v>
      </c>
      <c r="B31" s="9">
        <v>43378</v>
      </c>
      <c r="C31" s="10">
        <f>B31-A31</f>
        <v>2</v>
      </c>
      <c r="D31" s="6" t="str">
        <f>"NI DAYS - "&amp;TEXT(B31,"jj/mm")</f>
        <v>NI DAYS - 05/10</v>
      </c>
      <c r="E31" s="10">
        <v>-90</v>
      </c>
      <c r="F31" s="10">
        <f>E31</f>
        <v>-90</v>
      </c>
    </row>
    <row r="32" spans="1:9" ht="18" customHeight="1" x14ac:dyDescent="0.35">
      <c r="A32" s="9">
        <v>43383</v>
      </c>
      <c r="B32" s="9">
        <v>43445</v>
      </c>
      <c r="C32" s="10">
        <f t="shared" ref="C32:C42" si="0">B32-A32</f>
        <v>62</v>
      </c>
      <c r="D32" s="6" t="str">
        <f>"Supply PCB "&amp;CHAR(10)&amp;TEXT(A32,"jj/mm")</f>
        <v>Supply PCB 
10/10</v>
      </c>
      <c r="E32" s="10">
        <v>-75</v>
      </c>
      <c r="F32" s="10">
        <f t="shared" ref="F32:F42" si="1">E32</f>
        <v>-75</v>
      </c>
    </row>
    <row r="33" spans="1:9" ht="18" customHeight="1" x14ac:dyDescent="0.35">
      <c r="A33" s="9">
        <v>43446</v>
      </c>
      <c r="B33" s="9">
        <v>43486</v>
      </c>
      <c r="C33" s="10">
        <f t="shared" si="0"/>
        <v>40</v>
      </c>
      <c r="D33" s="6" t="str">
        <f>"Data PCB "&amp;CHAR(10)&amp;TEXT(A33,"jj/mm")</f>
        <v>Data PCB 
12/12</v>
      </c>
      <c r="E33" s="10">
        <v>-60</v>
      </c>
      <c r="F33" s="10">
        <f t="shared" si="1"/>
        <v>-60</v>
      </c>
    </row>
    <row r="34" spans="1:9" ht="18" customHeight="1" x14ac:dyDescent="0.35">
      <c r="A34" s="9">
        <v>43383</v>
      </c>
      <c r="B34" s="9">
        <v>43448</v>
      </c>
      <c r="C34" s="10">
        <f t="shared" si="0"/>
        <v>65</v>
      </c>
      <c r="D34" s="6" t="str">
        <f>"Thrower "&amp;CHAR(10)&amp;TEXT(A34,"jj/mm")</f>
        <v>Thrower 
10/10</v>
      </c>
      <c r="E34" s="10">
        <v>-30</v>
      </c>
      <c r="F34" s="10">
        <f t="shared" si="1"/>
        <v>-30</v>
      </c>
    </row>
    <row r="35" spans="1:9" ht="18" customHeight="1" x14ac:dyDescent="0.35">
      <c r="A35" s="9">
        <v>43403</v>
      </c>
      <c r="B35" s="9">
        <v>43439</v>
      </c>
      <c r="C35" s="10">
        <f t="shared" si="0"/>
        <v>36</v>
      </c>
      <c r="D35" s="6" t="str">
        <f>"Raspberry PI "&amp;CHAR(10)&amp;TEXT(A35,"jj/mm")</f>
        <v>Raspberry PI 
30/10</v>
      </c>
      <c r="E35" s="10">
        <v>-60</v>
      </c>
      <c r="F35" s="10">
        <f t="shared" si="1"/>
        <v>-60</v>
      </c>
    </row>
    <row r="36" spans="1:9" ht="18" customHeight="1" x14ac:dyDescent="0.35">
      <c r="A36" s="9">
        <v>43401</v>
      </c>
      <c r="B36" s="9">
        <v>43410</v>
      </c>
      <c r="C36" s="10">
        <f t="shared" si="0"/>
        <v>9</v>
      </c>
      <c r="D36" s="6" t="str">
        <f>"Executable "&amp;CHAR(10)&amp;TEXT(A36,"jj/mm")</f>
        <v>Executable 
28/10</v>
      </c>
      <c r="E36" s="10">
        <v>-15</v>
      </c>
      <c r="F36" s="10">
        <f t="shared" si="1"/>
        <v>-15</v>
      </c>
    </row>
    <row r="37" spans="1:9" ht="18" customHeight="1" x14ac:dyDescent="0.35">
      <c r="A37" s="9">
        <v>43424</v>
      </c>
      <c r="B37" s="9">
        <v>43444</v>
      </c>
      <c r="C37" s="10">
        <f t="shared" si="0"/>
        <v>20</v>
      </c>
      <c r="D37" s="6" t="str">
        <f>"Scénarii 1 &amp; 2 "&amp;CHAR(10)&amp;TEXT(A37,"jj/mm")</f>
        <v>Scénarii 1 &amp; 2 
20/11</v>
      </c>
      <c r="E37" s="10">
        <v>-45</v>
      </c>
      <c r="F37" s="10">
        <f t="shared" si="1"/>
        <v>-45</v>
      </c>
    </row>
    <row r="38" spans="1:9" ht="18" customHeight="1" x14ac:dyDescent="0.35">
      <c r="A38" s="9">
        <v>43429</v>
      </c>
      <c r="B38" s="9">
        <v>43441</v>
      </c>
      <c r="C38" s="10">
        <f t="shared" si="0"/>
        <v>12</v>
      </c>
      <c r="D38" s="6" t="str">
        <f>"JPO making"&amp;CHAR(10)&amp;TEXT(A38,"jj/mm")</f>
        <v>JPO making
25/11</v>
      </c>
      <c r="E38" s="10">
        <v>-15</v>
      </c>
      <c r="F38" s="10">
        <f t="shared" si="1"/>
        <v>-15</v>
      </c>
    </row>
    <row r="39" spans="1:9" ht="18" customHeight="1" x14ac:dyDescent="0.35">
      <c r="A39" s="9">
        <v>43405</v>
      </c>
      <c r="B39" s="9">
        <v>43532</v>
      </c>
      <c r="C39" s="10">
        <f t="shared" si="0"/>
        <v>127</v>
      </c>
      <c r="D39" s="6" t="str">
        <f>"M1 management"&amp;CHAR(10)&amp;TEXT(A39,"jj/mm")</f>
        <v>M1 management
01/11</v>
      </c>
      <c r="E39" s="10">
        <v>-90</v>
      </c>
      <c r="F39" s="10">
        <f t="shared" si="1"/>
        <v>-90</v>
      </c>
    </row>
    <row r="40" spans="1:9" ht="18" customHeight="1" x14ac:dyDescent="0.35">
      <c r="A40" s="9">
        <v>43448</v>
      </c>
      <c r="B40" s="9">
        <v>43476</v>
      </c>
      <c r="C40" s="10">
        <f t="shared" si="0"/>
        <v>28</v>
      </c>
      <c r="D40" s="6" t="str">
        <f>"Docs/Pres "&amp;CHAR(10)&amp;TEXT(A40,"jj/mm")</f>
        <v>Docs/Pres 
14/12</v>
      </c>
      <c r="E40" s="10">
        <v>-80</v>
      </c>
      <c r="F40" s="10">
        <f t="shared" si="1"/>
        <v>-80</v>
      </c>
    </row>
    <row r="41" spans="1:9" ht="18" customHeight="1" x14ac:dyDescent="0.35">
      <c r="A41" s="9">
        <v>43472</v>
      </c>
      <c r="B41" s="9">
        <v>43485</v>
      </c>
      <c r="C41" s="10">
        <f t="shared" si="0"/>
        <v>13</v>
      </c>
      <c r="D41" s="6" t="str">
        <f>"Code corrections "&amp;CHAR(10)&amp;TEXT(A41,"jj/mm")</f>
        <v>Code corrections 
07/01</v>
      </c>
      <c r="E41" s="10">
        <v>-15</v>
      </c>
      <c r="F41" s="10">
        <f t="shared" si="1"/>
        <v>-15</v>
      </c>
    </row>
    <row r="42" spans="1:9" ht="18" customHeight="1" x14ac:dyDescent="0.35">
      <c r="A42" s="9">
        <v>43486</v>
      </c>
      <c r="B42" s="9">
        <v>43496</v>
      </c>
      <c r="C42" s="10">
        <f t="shared" si="0"/>
        <v>10</v>
      </c>
      <c r="D42" s="6" t="str">
        <f>"Sorter "&amp;CHAR(10)&amp;TEXT(A42,"jj/mm")</f>
        <v>Sorter 
21/01</v>
      </c>
      <c r="E42" s="10">
        <v>-22</v>
      </c>
      <c r="F42" s="10">
        <f t="shared" si="1"/>
        <v>-22</v>
      </c>
    </row>
    <row r="43" spans="1:9" ht="18" customHeight="1" x14ac:dyDescent="0.35">
      <c r="A43" s="9">
        <v>43524</v>
      </c>
      <c r="B43" s="9">
        <v>43526</v>
      </c>
      <c r="C43" s="10">
        <f t="shared" ref="C43" si="2">B43-A43</f>
        <v>2</v>
      </c>
      <c r="D43" s="6" t="str">
        <f>"JPO making "&amp;CHAR(10)&amp;TEXT(A43,"jj/mm")</f>
        <v>JPO making 
28/02</v>
      </c>
      <c r="E43" s="10">
        <v>-15</v>
      </c>
      <c r="F43" s="10">
        <f t="shared" ref="F43" si="3">E43</f>
        <v>-15</v>
      </c>
    </row>
    <row r="44" spans="1:9" ht="18" customHeight="1" x14ac:dyDescent="0.35">
      <c r="A44" s="9">
        <v>43479</v>
      </c>
      <c r="B44" s="9">
        <v>43518</v>
      </c>
      <c r="C44" s="10">
        <f t="shared" ref="C44" si="4">B44-A44</f>
        <v>39</v>
      </c>
      <c r="D44" s="6" t="str">
        <f>"PCB integ. "&amp;CHAR(10)&amp;TEXT(A44,"jj/mm")</f>
        <v>PCB integ. 
14/01</v>
      </c>
      <c r="E44" s="10">
        <v>-28</v>
      </c>
      <c r="F44" s="10">
        <f t="shared" ref="F44" si="5">E44</f>
        <v>-28</v>
      </c>
    </row>
    <row r="45" spans="1:9" ht="18" customHeight="1" x14ac:dyDescent="0.35">
      <c r="A45" s="9">
        <v>43472</v>
      </c>
      <c r="B45" s="9">
        <v>43529</v>
      </c>
      <c r="C45" s="10">
        <f t="shared" ref="C45" si="6">B45-A45</f>
        <v>57</v>
      </c>
      <c r="D45" s="6" t="str">
        <f>"Lidar "&amp;CHAR(10)&amp;TEXT(A45,"jj/mm")</f>
        <v>Lidar 
07/01</v>
      </c>
      <c r="E45" s="10">
        <v>-48</v>
      </c>
      <c r="F45" s="10">
        <f t="shared" ref="F45" si="7">E45</f>
        <v>-48</v>
      </c>
    </row>
    <row r="46" spans="1:9" ht="18" customHeight="1" x14ac:dyDescent="0.35">
      <c r="A46" s="9">
        <v>43526</v>
      </c>
      <c r="B46" s="9">
        <v>43532</v>
      </c>
      <c r="C46" s="10">
        <f t="shared" ref="C46" si="8">B46-A46</f>
        <v>6</v>
      </c>
      <c r="D46" s="6" t="str">
        <f>"Doc/Pres. "&amp;CHAR(10)&amp;TEXT(A46,"jj/mm")</f>
        <v>Doc/Pres. 
02/03</v>
      </c>
      <c r="E46" s="10">
        <v>-39</v>
      </c>
      <c r="F46" s="10">
        <f t="shared" ref="F46" si="9">E46</f>
        <v>-39</v>
      </c>
    </row>
    <row r="47" spans="1:9" ht="18" customHeight="1" x14ac:dyDescent="0.35">
      <c r="A47" s="9">
        <v>43490</v>
      </c>
      <c r="B47" s="9">
        <v>43529</v>
      </c>
      <c r="C47" s="10">
        <f t="shared" ref="C47" si="10">B47-A47</f>
        <v>39</v>
      </c>
      <c r="D47" s="6" t="str">
        <f>"Assembling robot "&amp;CHAR(10)&amp;TEXT(A47,"jj/mm")</f>
        <v>Assembling robot 
25/01</v>
      </c>
      <c r="E47" s="10">
        <v>-70</v>
      </c>
      <c r="F47" s="10">
        <f t="shared" ref="F47" si="11">E47</f>
        <v>-70</v>
      </c>
    </row>
    <row r="48" spans="1:9" x14ac:dyDescent="0.35">
      <c r="A48" s="7"/>
      <c r="B48" s="7"/>
      <c r="C48" s="8"/>
      <c r="D48" s="12" t="s">
        <v>3</v>
      </c>
      <c r="E48" s="8"/>
      <c r="F48" s="8"/>
      <c r="I48" s="5"/>
    </row>
    <row r="50" spans="1:9" ht="21" x14ac:dyDescent="0.5">
      <c r="A50" s="3" t="s">
        <v>6</v>
      </c>
      <c r="B50" s="3"/>
      <c r="C50" s="3"/>
    </row>
    <row r="51" spans="1:9" ht="18.5" x14ac:dyDescent="0.35">
      <c r="A51" s="2" t="s">
        <v>0</v>
      </c>
      <c r="B51" s="2"/>
      <c r="C51" s="2"/>
      <c r="D51" s="2" t="s">
        <v>2</v>
      </c>
      <c r="E51" s="2" t="s">
        <v>1</v>
      </c>
    </row>
    <row r="52" spans="1:9" s="16" customFormat="1" ht="10.5" x14ac:dyDescent="0.25">
      <c r="A52" s="13"/>
      <c r="B52" s="13"/>
      <c r="C52" s="14"/>
      <c r="D52" s="15"/>
      <c r="E52" s="14"/>
    </row>
    <row r="53" spans="1:9" ht="18" customHeight="1" x14ac:dyDescent="0.35">
      <c r="A53" s="9">
        <v>43378</v>
      </c>
      <c r="B53" s="9"/>
      <c r="C53" s="10"/>
      <c r="D53" s="11" t="str">
        <f>"Début des projets à l'ISEN, "&amp;TEXT(A53,"jj/mm/aa")</f>
        <v>Début des projets à l'ISEN, 05/10/18</v>
      </c>
      <c r="E53" s="10">
        <v>30</v>
      </c>
    </row>
    <row r="54" spans="1:9" ht="18" customHeight="1" x14ac:dyDescent="0.35">
      <c r="A54" s="9">
        <v>43425</v>
      </c>
      <c r="B54" s="9"/>
      <c r="C54" s="10"/>
      <c r="D54" s="11" t="str">
        <f>"Pitch n°1 :  Project Management, "&amp;TEXT(A54,"jj/mm/aa")</f>
        <v>Pitch n°1 :  Project Management, 21/11/18</v>
      </c>
      <c r="E54" s="10">
        <v>10</v>
      </c>
    </row>
    <row r="55" spans="1:9" ht="18" customHeight="1" x14ac:dyDescent="0.35">
      <c r="A55" s="9">
        <v>43442</v>
      </c>
      <c r="B55" s="9"/>
      <c r="C55" s="10"/>
      <c r="D55" s="11" t="str">
        <f>"JPO ISEN, "&amp;TEXT(A55,"jj/mm/aa")</f>
        <v>JPO ISEN, 08/12/18</v>
      </c>
      <c r="E55" s="10">
        <v>40</v>
      </c>
    </row>
    <row r="56" spans="1:9" ht="18" customHeight="1" x14ac:dyDescent="0.35">
      <c r="A56" s="9">
        <v>43483</v>
      </c>
      <c r="B56" s="9"/>
      <c r="C56" s="10"/>
      <c r="D56" s="11" t="str">
        <f>"Pitch n°2 : Global Technical,  "&amp;TEXT(A56,"jj/mm/aa")</f>
        <v>Pitch n°2 : Global Technical,  18/01/19</v>
      </c>
      <c r="E56" s="10">
        <v>10</v>
      </c>
    </row>
    <row r="57" spans="1:9" ht="18" customHeight="1" x14ac:dyDescent="0.35">
      <c r="A57" s="9">
        <v>43532</v>
      </c>
      <c r="B57" s="9"/>
      <c r="C57" s="10"/>
      <c r="D57" s="11" t="str">
        <f>"Pitch final , "&amp;TEXT(A57,"jj/mm/aa")</f>
        <v>Pitch final , 08/03/19</v>
      </c>
      <c r="E57" s="10">
        <v>15</v>
      </c>
      <c r="I57" s="4"/>
    </row>
    <row r="58" spans="1:9" ht="18" customHeight="1" x14ac:dyDescent="0.35">
      <c r="A58" s="9">
        <v>43526</v>
      </c>
      <c r="B58" s="9"/>
      <c r="C58" s="10"/>
      <c r="D58" s="11" t="str">
        <f>"JPO ISEN, "&amp;TEXT(A58,"jj/mm/aa")</f>
        <v>JPO ISEN, 02/03/19</v>
      </c>
      <c r="E58" s="10">
        <v>40</v>
      </c>
      <c r="I58" s="4"/>
    </row>
    <row r="59" spans="1:9" x14ac:dyDescent="0.35">
      <c r="A59" s="7"/>
      <c r="B59" s="7"/>
      <c r="C59" s="8"/>
      <c r="D59" s="12" t="s">
        <v>3</v>
      </c>
      <c r="E59" s="8"/>
      <c r="I59" s="5"/>
    </row>
  </sheetData>
  <hyperlinks>
    <hyperlink ref="I5" r:id="rId1" xr:uid="{67E67E12-339E-49C8-AAAC-2BC2D8E201AE}"/>
    <hyperlink ref="I4" r:id="rId2" xr:uid="{19138F53-77EE-4C8C-8E6E-F4F4F9A6181B}"/>
  </hyperlinks>
  <pageMargins left="0.35" right="0.35" top="0.5" bottom="0.5" header="0.25" footer="0.25"/>
  <pageSetup fitToHeight="0" orientation="landscape" r:id="rId3"/>
  <drawing r:id="rId4"/>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28E46-4F8E-4CE9-86EA-5AE28B42ED2D}">
  <sheetPr>
    <tabColor theme="9" tint="0.79998168889431442"/>
  </sheetPr>
  <dimension ref="A1:B19"/>
  <sheetViews>
    <sheetView showGridLines="0" workbookViewId="0"/>
  </sheetViews>
  <sheetFormatPr baseColWidth="10" defaultColWidth="9.08984375" defaultRowHeight="13" x14ac:dyDescent="0.3"/>
  <cols>
    <col min="1" max="1" width="86.6328125" style="18" customWidth="1"/>
    <col min="2" max="16384" width="9.08984375" style="19"/>
  </cols>
  <sheetData>
    <row r="1" spans="1:2" ht="46.5" customHeight="1" x14ac:dyDescent="0.3"/>
    <row r="2" spans="1:2" s="21" customFormat="1" ht="15.5" x14ac:dyDescent="0.35">
      <c r="A2" s="20" t="s">
        <v>16</v>
      </c>
      <c r="B2" s="20"/>
    </row>
    <row r="3" spans="1:2" s="23" customFormat="1" ht="14.5" x14ac:dyDescent="0.35">
      <c r="A3" s="22" t="s">
        <v>20</v>
      </c>
      <c r="B3" s="22"/>
    </row>
    <row r="6" spans="1:2" ht="21" x14ac:dyDescent="0.3">
      <c r="A6" s="24" t="s">
        <v>11</v>
      </c>
    </row>
    <row r="7" spans="1:2" ht="58" x14ac:dyDescent="0.3">
      <c r="A7" s="25" t="s">
        <v>34</v>
      </c>
    </row>
    <row r="8" spans="1:2" ht="14.5" x14ac:dyDescent="0.3">
      <c r="A8" s="25"/>
    </row>
    <row r="9" spans="1:2" ht="29" x14ac:dyDescent="0.3">
      <c r="A9" s="25" t="s">
        <v>35</v>
      </c>
    </row>
    <row r="11" spans="1:2" s="26" customFormat="1" ht="26" x14ac:dyDescent="0.6">
      <c r="A11" s="24" t="s">
        <v>17</v>
      </c>
    </row>
    <row r="12" spans="1:2" ht="14.5" x14ac:dyDescent="0.3">
      <c r="A12" s="25" t="s">
        <v>19</v>
      </c>
    </row>
    <row r="13" spans="1:2" ht="18.5" x14ac:dyDescent="0.45">
      <c r="A13" s="27" t="s">
        <v>12</v>
      </c>
    </row>
    <row r="14" spans="1:2" ht="18.5" x14ac:dyDescent="0.45">
      <c r="A14" s="27" t="s">
        <v>18</v>
      </c>
    </row>
    <row r="16" spans="1:2" s="26" customFormat="1" ht="26" x14ac:dyDescent="0.6">
      <c r="A16" s="24" t="s">
        <v>13</v>
      </c>
    </row>
    <row r="17" spans="1:1" ht="58" x14ac:dyDescent="0.3">
      <c r="A17" s="25" t="s">
        <v>15</v>
      </c>
    </row>
    <row r="18" spans="1:1" ht="14.5" x14ac:dyDescent="0.3">
      <c r="A18" s="25"/>
    </row>
    <row r="19" spans="1:1" ht="72.5" x14ac:dyDescent="0.3">
      <c r="A19" s="25" t="s">
        <v>14</v>
      </c>
    </row>
  </sheetData>
  <hyperlinks>
    <hyperlink ref="A13" r:id="rId1" xr:uid="{B8947EC3-1C72-493B-A4FE-3C48F5A53842}"/>
    <hyperlink ref="A14" r:id="rId2" xr:uid="{DFD6A2CD-51CD-4C83-9B83-B25742004360}"/>
    <hyperlink ref="A2" r:id="rId3" xr:uid="{43D0A7D2-DABF-42AF-87ED-ECA12DBF526E}"/>
    <hyperlink ref="A3" r:id="rId4" xr:uid="{EFC32A66-072E-4930-A63A-F05546C72F1E}"/>
  </hyperlinks>
  <pageMargins left="0.7" right="0.7" top="0.75" bottom="0.7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0" ma:contentTypeDescription="Create a new document." ma:contentTypeScope="" ma:versionID="e39e7e9e36de66d473ce04bb4ab2dbb8">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19dc5994665da46609c24125788630d8"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1BCFA6-26B6-499E-BB6B-76D51080F89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0F1B778-06B7-4794-845A-0ECCB01669A3}">
  <ds:schemaRefs>
    <ds:schemaRef ds:uri="http://purl.org/dc/elements/1.1/"/>
    <ds:schemaRef ds:uri="http://schemas.microsoft.com/office/2006/metadata/properties"/>
    <ds:schemaRef ds:uri="http://purl.org/dc/terms/"/>
    <ds:schemaRef ds:uri="http://schemas.openxmlformats.org/package/2006/metadata/core-properties"/>
    <ds:schemaRef ds:uri="16c05727-aa75-4e4a-9b5f-8a80a1165891"/>
    <ds:schemaRef ds:uri="http://schemas.microsoft.com/office/2006/documentManagement/types"/>
    <ds:schemaRef ds:uri="http://schemas.microsoft.com/office/infopath/2007/PartnerControls"/>
    <ds:schemaRef ds:uri="71af3243-3dd4-4a8d-8c0d-dd76da1f02a5"/>
    <ds:schemaRef ds:uri="http://www.w3.org/XML/1998/namespace"/>
    <ds:schemaRef ds:uri="http://purl.org/dc/dcmitype/"/>
  </ds:schemaRefs>
</ds:datastoreItem>
</file>

<file path=customXml/itemProps3.xml><?xml version="1.0" encoding="utf-8"?>
<ds:datastoreItem xmlns:ds="http://schemas.openxmlformats.org/officeDocument/2006/customXml" ds:itemID="{ED4DD1CA-CC0D-4ADB-AD87-02B08230D2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2</vt:i4>
      </vt:variant>
    </vt:vector>
  </HeadingPairs>
  <TitlesOfParts>
    <vt:vector size="4" baseType="lpstr">
      <vt:lpstr>Timeline</vt:lpstr>
      <vt:lpstr>About</vt:lpstr>
      <vt:lpstr>Timeline!Impression_des_titres</vt:lpstr>
      <vt:lpstr>Timeline!Zone_d_impression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michaele</dc:creator>
  <cp:lastModifiedBy>Melanie</cp:lastModifiedBy>
  <cp:lastPrinted>2018-04-11T18:27:23Z</cp:lastPrinted>
  <dcterms:created xsi:type="dcterms:W3CDTF">2018-02-15T17:10:26Z</dcterms:created>
  <dcterms:modified xsi:type="dcterms:W3CDTF">2019-03-06T15:46:54Z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 Author">
    <vt:lpwstr>Vertex42.com</vt:lpwstr>
  </property>
  <property fmtid="{D5CDD505-2E9C-101B-9397-08002B2CF9AE}" pid="3" name="Template Source">
    <vt:lpwstr>https://www.vertex42.com/ExcelTemplates/project-timeline.html</vt:lpwstr>
  </property>
  <property fmtid="{D5CDD505-2E9C-101B-9397-08002B2CF9AE}" pid="4" name="ContentTypeId">
    <vt:lpwstr>0x01010079F111ED35F8CC479449609E8A0923A6</vt:lpwstr>
  </property>
</Properties>
</file>
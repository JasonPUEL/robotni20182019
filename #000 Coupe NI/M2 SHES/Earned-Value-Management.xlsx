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colas\Desktop\M2\Bureau d'étude\"/>
    </mc:Choice>
  </mc:AlternateContent>
  <xr:revisionPtr revIDLastSave="0" documentId="13_ncr:1_{80A418F9-4DFA-4458-BCC4-842301014403}" xr6:coauthVersionLast="36" xr6:coauthVersionMax="40" xr10:uidLastSave="{00000000-0000-0000-0000-000000000000}"/>
  <bookViews>
    <workbookView xWindow="0" yWindow="0" windowWidth="19200" windowHeight="6930" activeTab="1" xr2:uid="{00000000-000D-0000-FFFF-FFFF00000000}"/>
  </bookViews>
  <sheets>
    <sheet name="EV" sheetId="8" r:id="rId1"/>
    <sheet name="Report" sheetId="3" r:id="rId2"/>
    <sheet name="AC" sheetId="9" r:id="rId3"/>
  </sheets>
  <definedNames>
    <definedName name="holidays">OFFSET(#REF!,1,0,COUNTA(#REF!),1)</definedName>
    <definedName name="valuevx">42.314159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_xlnm.Print_Area" localSheetId="2">AC!$A$2:$O$3</definedName>
    <definedName name="_xlnm.Print_Area" localSheetId="0">EV!$A$2:$O$3</definedName>
    <definedName name="_xlnm.Print_Area" localSheetId="1">Report!$A$1:$O$64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7" i="9" l="1"/>
  <c r="B37" i="9"/>
  <c r="A37" i="8"/>
  <c r="B37" i="8"/>
  <c r="C50" i="3"/>
  <c r="C37" i="8" s="1"/>
  <c r="A34" i="9"/>
  <c r="B34" i="9"/>
  <c r="A35" i="9"/>
  <c r="B35" i="9"/>
  <c r="A36" i="9"/>
  <c r="B36" i="9"/>
  <c r="A35" i="8"/>
  <c r="B35" i="8"/>
  <c r="A36" i="8"/>
  <c r="B36" i="8"/>
  <c r="C36" i="8"/>
  <c r="C49" i="3"/>
  <c r="C48" i="3"/>
  <c r="C35" i="8" s="1"/>
  <c r="A34" i="8"/>
  <c r="B34" i="8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21" i="8" s="1"/>
  <c r="C35" i="3"/>
  <c r="C22" i="8" s="1"/>
  <c r="C42" i="3"/>
  <c r="C29" i="8" s="1"/>
  <c r="C43" i="3"/>
  <c r="C30" i="8" s="1"/>
  <c r="C44" i="3"/>
  <c r="C31" i="8" s="1"/>
  <c r="C45" i="3"/>
  <c r="C32" i="8" s="1"/>
  <c r="C46" i="3"/>
  <c r="C33" i="8" s="1"/>
  <c r="C47" i="3"/>
  <c r="C34" i="8" s="1"/>
  <c r="C36" i="3"/>
  <c r="C23" i="8" s="1"/>
  <c r="C37" i="3"/>
  <c r="C38" i="3"/>
  <c r="C25" i="8" s="1"/>
  <c r="C39" i="3"/>
  <c r="C26" i="8" s="1"/>
  <c r="C40" i="3"/>
  <c r="C27" i="8" s="1"/>
  <c r="C41" i="3"/>
  <c r="C28" i="8" s="1"/>
  <c r="P39" i="9"/>
  <c r="Q39" i="9"/>
  <c r="A31" i="9"/>
  <c r="B31" i="9"/>
  <c r="A32" i="9"/>
  <c r="B32" i="9"/>
  <c r="A33" i="9"/>
  <c r="B33" i="9"/>
  <c r="A21" i="9"/>
  <c r="B21" i="9"/>
  <c r="A22" i="9"/>
  <c r="B22" i="9"/>
  <c r="A23" i="9"/>
  <c r="B23" i="9"/>
  <c r="A24" i="9"/>
  <c r="B24" i="9"/>
  <c r="A25" i="9"/>
  <c r="B25" i="9"/>
  <c r="A26" i="9"/>
  <c r="B26" i="9"/>
  <c r="A27" i="9"/>
  <c r="B27" i="9"/>
  <c r="A28" i="9"/>
  <c r="B28" i="9"/>
  <c r="A29" i="9"/>
  <c r="B29" i="9"/>
  <c r="A30" i="9"/>
  <c r="B30" i="9"/>
  <c r="A33" i="8"/>
  <c r="B33" i="8"/>
  <c r="A27" i="8"/>
  <c r="B27" i="8"/>
  <c r="A28" i="8"/>
  <c r="B28" i="8"/>
  <c r="A29" i="8"/>
  <c r="B29" i="8"/>
  <c r="A30" i="8"/>
  <c r="B30" i="8"/>
  <c r="A31" i="8"/>
  <c r="B31" i="8"/>
  <c r="A32" i="8"/>
  <c r="B32" i="8"/>
  <c r="A21" i="8"/>
  <c r="B21" i="8"/>
  <c r="A22" i="8"/>
  <c r="B22" i="8"/>
  <c r="A23" i="8"/>
  <c r="B23" i="8"/>
  <c r="A24" i="8"/>
  <c r="B24" i="8"/>
  <c r="A25" i="8"/>
  <c r="B25" i="8"/>
  <c r="A26" i="8"/>
  <c r="B26" i="8"/>
  <c r="C24" i="8"/>
  <c r="P52" i="3"/>
  <c r="Q52" i="3"/>
  <c r="C9" i="8" l="1"/>
  <c r="A9" i="8"/>
  <c r="A10" i="8"/>
  <c r="A11" i="8"/>
  <c r="A12" i="8"/>
  <c r="A13" i="8"/>
  <c r="A14" i="8"/>
  <c r="A15" i="8"/>
  <c r="A16" i="8"/>
  <c r="A17" i="8"/>
  <c r="A18" i="8"/>
  <c r="A19" i="8"/>
  <c r="A20" i="8"/>
  <c r="M52" i="3"/>
  <c r="N52" i="3"/>
  <c r="O52" i="3"/>
  <c r="D52" i="3"/>
  <c r="E52" i="3"/>
  <c r="F52" i="3"/>
  <c r="G52" i="3"/>
  <c r="H52" i="3"/>
  <c r="I52" i="3"/>
  <c r="J52" i="3"/>
  <c r="K52" i="3"/>
  <c r="L52" i="3"/>
  <c r="D53" i="3"/>
  <c r="C14" i="8"/>
  <c r="C11" i="8"/>
  <c r="C12" i="8"/>
  <c r="C13" i="8"/>
  <c r="C15" i="8"/>
  <c r="C16" i="8"/>
  <c r="C17" i="8"/>
  <c r="C18" i="8"/>
  <c r="C19" i="8"/>
  <c r="C20" i="8"/>
  <c r="H39" i="9"/>
  <c r="I39" i="9"/>
  <c r="J39" i="9"/>
  <c r="D39" i="9"/>
  <c r="E39" i="9"/>
  <c r="F39" i="9"/>
  <c r="G39" i="9"/>
  <c r="K39" i="9"/>
  <c r="L39" i="9"/>
  <c r="M39" i="9"/>
  <c r="N39" i="9"/>
  <c r="O39" i="9"/>
  <c r="B20" i="9"/>
  <c r="A20" i="9"/>
  <c r="B19" i="9"/>
  <c r="A19" i="9"/>
  <c r="B18" i="9"/>
  <c r="A18" i="9"/>
  <c r="B17" i="9"/>
  <c r="A17" i="9"/>
  <c r="B16" i="9"/>
  <c r="A16" i="9"/>
  <c r="B15" i="9"/>
  <c r="A15" i="9"/>
  <c r="B14" i="9"/>
  <c r="A14" i="9"/>
  <c r="B13" i="9"/>
  <c r="A13" i="9"/>
  <c r="B12" i="9"/>
  <c r="A12" i="9"/>
  <c r="B11" i="9"/>
  <c r="A11" i="9"/>
  <c r="B10" i="9"/>
  <c r="A10" i="9"/>
  <c r="B9" i="9"/>
  <c r="A9" i="9"/>
  <c r="B10" i="8"/>
  <c r="B11" i="8"/>
  <c r="B12" i="8"/>
  <c r="B13" i="8"/>
  <c r="B14" i="8"/>
  <c r="B15" i="8"/>
  <c r="B16" i="8"/>
  <c r="B17" i="8"/>
  <c r="B18" i="8"/>
  <c r="B19" i="8"/>
  <c r="B20" i="8"/>
  <c r="B9" i="8"/>
  <c r="P41" i="9" l="1"/>
  <c r="P56" i="3" s="1"/>
  <c r="Q41" i="9"/>
  <c r="Q56" i="3" s="1"/>
  <c r="J41" i="9"/>
  <c r="J56" i="3" s="1"/>
  <c r="O41" i="9"/>
  <c r="O56" i="3" s="1"/>
  <c r="H41" i="9"/>
  <c r="H56" i="3" s="1"/>
  <c r="E53" i="3"/>
  <c r="F53" i="3"/>
  <c r="N41" i="9"/>
  <c r="N56" i="3" s="1"/>
  <c r="F41" i="9"/>
  <c r="F56" i="3" s="1"/>
  <c r="K41" i="9"/>
  <c r="K56" i="3" s="1"/>
  <c r="G41" i="9"/>
  <c r="G56" i="3" s="1"/>
  <c r="I41" i="9"/>
  <c r="I56" i="3" s="1"/>
  <c r="D41" i="9"/>
  <c r="D56" i="3" s="1"/>
  <c r="L41" i="9"/>
  <c r="L56" i="3" s="1"/>
  <c r="M41" i="9"/>
  <c r="M56" i="3" s="1"/>
  <c r="G53" i="3"/>
  <c r="C52" i="3"/>
  <c r="I53" i="3"/>
  <c r="L53" i="3"/>
  <c r="C10" i="8"/>
  <c r="Q39" i="8" s="1"/>
  <c r="Q57" i="3" s="1"/>
  <c r="M53" i="3"/>
  <c r="H53" i="3"/>
  <c r="N53" i="3"/>
  <c r="K53" i="3"/>
  <c r="O53" i="3"/>
  <c r="J53" i="3"/>
  <c r="P53" i="3"/>
  <c r="Q53" i="3"/>
  <c r="E41" i="9"/>
  <c r="E56" i="3" s="1"/>
  <c r="Q60" i="3" l="1"/>
  <c r="Q62" i="3"/>
  <c r="Q64" i="3" s="1"/>
  <c r="Q61" i="3"/>
  <c r="Q63" i="3"/>
  <c r="J39" i="8"/>
  <c r="J57" i="3" s="1"/>
  <c r="J63" i="3" s="1"/>
  <c r="K39" i="8"/>
  <c r="K57" i="3" s="1"/>
  <c r="F39" i="8"/>
  <c r="F57" i="3" s="1"/>
  <c r="F60" i="3" s="1"/>
  <c r="D39" i="8"/>
  <c r="D57" i="3" s="1"/>
  <c r="D62" i="3" s="1"/>
  <c r="D64" i="3" s="1"/>
  <c r="G39" i="8"/>
  <c r="G57" i="3" s="1"/>
  <c r="G60" i="3" s="1"/>
  <c r="O39" i="8"/>
  <c r="O57" i="3" s="1"/>
  <c r="L39" i="8"/>
  <c r="L57" i="3" s="1"/>
  <c r="E39" i="8"/>
  <c r="E57" i="3" s="1"/>
  <c r="E63" i="3" s="1"/>
  <c r="M39" i="8"/>
  <c r="M57" i="3" s="1"/>
  <c r="P39" i="8"/>
  <c r="P57" i="3" s="1"/>
  <c r="H39" i="8"/>
  <c r="H57" i="3" s="1"/>
  <c r="H62" i="3" s="1"/>
  <c r="I39" i="8"/>
  <c r="I57" i="3" s="1"/>
  <c r="I61" i="3" s="1"/>
  <c r="N39" i="8"/>
  <c r="N57" i="3" s="1"/>
  <c r="O63" i="3" l="1"/>
  <c r="O61" i="3"/>
  <c r="O62" i="3"/>
  <c r="O64" i="3" s="1"/>
  <c r="O60" i="3"/>
  <c r="N62" i="3"/>
  <c r="N60" i="3"/>
  <c r="N63" i="3"/>
  <c r="N61" i="3"/>
  <c r="N64" i="3"/>
  <c r="M61" i="3"/>
  <c r="M62" i="3"/>
  <c r="M64" i="3" s="1"/>
  <c r="M60" i="3"/>
  <c r="M63" i="3"/>
  <c r="L62" i="3"/>
  <c r="L64" i="3" s="1"/>
  <c r="L61" i="3"/>
  <c r="L60" i="3"/>
  <c r="L63" i="3"/>
  <c r="P62" i="3"/>
  <c r="P64" i="3" s="1"/>
  <c r="P61" i="3"/>
  <c r="P63" i="3"/>
  <c r="P60" i="3"/>
  <c r="K62" i="3"/>
  <c r="K64" i="3" s="1"/>
  <c r="K60" i="3"/>
  <c r="K61" i="3"/>
  <c r="K63" i="3"/>
  <c r="G61" i="3"/>
  <c r="J60" i="3"/>
  <c r="D63" i="3"/>
  <c r="J61" i="3"/>
  <c r="I60" i="3"/>
  <c r="E62" i="3"/>
  <c r="E64" i="3" s="1"/>
  <c r="D61" i="3"/>
  <c r="F62" i="3"/>
  <c r="F64" i="3" s="1"/>
  <c r="J62" i="3"/>
  <c r="J64" i="3" s="1"/>
  <c r="G63" i="3"/>
  <c r="F61" i="3"/>
  <c r="I62" i="3"/>
  <c r="I64" i="3" s="1"/>
  <c r="E61" i="3"/>
  <c r="H64" i="3"/>
  <c r="E60" i="3"/>
  <c r="F63" i="3"/>
  <c r="H61" i="3"/>
  <c r="D60" i="3"/>
  <c r="I63" i="3"/>
  <c r="H63" i="3"/>
  <c r="G62" i="3"/>
  <c r="G64" i="3" s="1"/>
  <c r="H6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A21" authorId="0" shapeId="0" xr:uid="{00000000-0006-0000-0000-000001000000}">
      <text>
        <r>
          <rPr>
            <sz val="8"/>
            <color indexed="81"/>
            <rFont val="Tahoma"/>
          </rPr>
          <t>Work Breakdown Structure (WBS)</t>
        </r>
      </text>
    </comment>
    <comment ref="C21" authorId="0" shapeId="0" xr:uid="{00000000-0006-0000-0000-000002000000}">
      <text>
        <r>
          <rPr>
            <sz val="8"/>
            <color indexed="81"/>
            <rFont val="Tahoma"/>
          </rPr>
          <t>Total Budgeted Cost at Completion</t>
        </r>
      </text>
    </comment>
  </commentList>
</comments>
</file>

<file path=xl/sharedStrings.xml><?xml version="1.0" encoding="utf-8"?>
<sst xmlns="http://schemas.openxmlformats.org/spreadsheetml/2006/main" count="106" uniqueCount="83">
  <si>
    <t>Earned Value Worksheet</t>
  </si>
  <si>
    <t>This worksheet is used to help calculate the Earned Value (EV) or Budgeted Cost of Work Performed (BCWP).</t>
  </si>
  <si>
    <t>Make sure that the WBS, Task Name, and TBC are identical to the table in the Report worksheet.</t>
  </si>
  <si>
    <t>Enter the % Complete for each task to calculate the cumulative earned value.</t>
  </si>
  <si>
    <t>Cumulative Earned Value (EV)</t>
  </si>
  <si>
    <t>WBS</t>
  </si>
  <si>
    <t>Task Name</t>
  </si>
  <si>
    <t>TBC</t>
  </si>
  <si>
    <t>Wk 1</t>
  </si>
  <si>
    <t>Wk 2</t>
  </si>
  <si>
    <t>Wk 3</t>
  </si>
  <si>
    <t>Wk 4</t>
  </si>
  <si>
    <t>Wk 5</t>
  </si>
  <si>
    <t>Wk 6</t>
  </si>
  <si>
    <t>Wk 7</t>
  </si>
  <si>
    <t>Wk 8</t>
  </si>
  <si>
    <t>Wk 9</t>
  </si>
  <si>
    <t>Wk 10</t>
  </si>
  <si>
    <t>Wk 11</t>
  </si>
  <si>
    <t>Wk 12</t>
  </si>
  <si>
    <t>Insert new rows above this one</t>
  </si>
  <si>
    <t>Cumulative EV</t>
  </si>
  <si>
    <t>Earned Value Analysis Report</t>
  </si>
  <si>
    <t>Prepared By:</t>
  </si>
  <si>
    <t>Date:</t>
  </si>
  <si>
    <t>[42]</t>
  </si>
  <si>
    <t>For Period:</t>
  </si>
  <si>
    <t>Planned Value (PV) or Budgeted Cost of Work Scheduled (BCWS)</t>
  </si>
  <si>
    <t>BAC</t>
  </si>
  <si>
    <t>← You can change the labels for the periods (e.g. Week 1/2/3, Jan/Feb/Mar, etc.)</t>
  </si>
  <si>
    <t>← Enter or edit values in the light-blue cells.</t>
  </si>
  <si>
    <t>← To add more tasks, insert rows above this one. You can or delete this row after you are done adding tasks.</t>
  </si>
  <si>
    <t>Total Budgeted Cost at Completion</t>
  </si>
  <si>
    <t>Cumulative Planned Value (PV)</t>
  </si>
  <si>
    <t>Actual Cost and Earned Value</t>
  </si>
  <si>
    <t>Cumulative Actual Cost (AC)</t>
  </si>
  <si>
    <t>← Enter the Actual Costs as calculated from the AC worksheet.</t>
  </si>
  <si>
    <t>← Enter the Earned Value as calculated from the EV worksheet.</t>
  </si>
  <si>
    <t>Project Performance Metrics</t>
  </si>
  <si>
    <t>Cost Variance (CV = EV - AC)</t>
  </si>
  <si>
    <t>Schedule Variance (SV = EV - PV)</t>
  </si>
  <si>
    <t>Cost Performance Index (CPI = EV/AC)</t>
  </si>
  <si>
    <t>Schedule Performance Index (SPI = EV/PV)</t>
  </si>
  <si>
    <t>Estimated Cost at Completion (EAC)</t>
  </si>
  <si>
    <t>Actual Cost Worksheet</t>
  </si>
  <si>
    <t>Use this worksheet to help calculate the Actual Cost (AC) of Work Performed (ACWP) by entering the costs incurred each period.</t>
  </si>
  <si>
    <t>Make sure that the WBS, Task Name, and BAC (Budget at Completion) are identical to the table in the Report worksheet.</t>
  </si>
  <si>
    <t>Transfer the Cumulative Actual Cost to the Report worksheet.</t>
  </si>
  <si>
    <t>Actual Cost (AC) of Work Performed</t>
  </si>
  <si>
    <t>Total Actual Cost</t>
  </si>
  <si>
    <t>Wk 13</t>
  </si>
  <si>
    <t>Wk 14</t>
  </si>
  <si>
    <t>Arm prototyping &amp; printing</t>
  </si>
  <si>
    <t>Assembling model</t>
  </si>
  <si>
    <t>Sorter prototyping &amp; wood cutting</t>
  </si>
  <si>
    <t>Change motor (hard+soft)</t>
  </si>
  <si>
    <t>Update code</t>
  </si>
  <si>
    <t>Code the Thrower</t>
  </si>
  <si>
    <t>Electrical mounting</t>
  </si>
  <si>
    <t>Datasheet on PWM</t>
  </si>
  <si>
    <t>Executable &amp; Initialisation fn</t>
  </si>
  <si>
    <t>Cleaning code, error cabling ...</t>
  </si>
  <si>
    <t>Update all RIO cards</t>
  </si>
  <si>
    <t>Real Time</t>
  </si>
  <si>
    <t>Supply PCB prototyping</t>
  </si>
  <si>
    <t>Data PCB Prototyping</t>
  </si>
  <si>
    <t>PCB Deployment &amp; integration</t>
  </si>
  <si>
    <t>Lidar - Cabling &amp; Data sending</t>
  </si>
  <si>
    <t>Lidar - Data treatment</t>
  </si>
  <si>
    <t>Lidar - Integration on robot</t>
  </si>
  <si>
    <t>Scenario 1</t>
  </si>
  <si>
    <t>Scenario 2</t>
  </si>
  <si>
    <t>Scenario 3</t>
  </si>
  <si>
    <t>Scenario 4</t>
  </si>
  <si>
    <t>Robot NI</t>
  </si>
  <si>
    <t>COURT Nicolas</t>
  </si>
  <si>
    <t>2018-2019</t>
  </si>
  <si>
    <t>Preparation &amp; Participation NI</t>
  </si>
  <si>
    <t>Brainstorming Scenarii &amp; details</t>
  </si>
  <si>
    <t>Lidar - Research &amp; command</t>
  </si>
  <si>
    <t>Weekly &amp; project management</t>
  </si>
  <si>
    <t>JPO presentation</t>
  </si>
  <si>
    <t>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</si>
</sst>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31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</font>
    <font>
      <sz val="8"/>
      <name val="Arial"/>
    </font>
    <font>
      <b/>
      <sz val="12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sz val="8"/>
      <color indexed="81"/>
      <name val="Tahoma"/>
    </font>
    <font>
      <sz val="6"/>
      <color indexed="9"/>
      <name val="Arial"/>
    </font>
    <font>
      <sz val="14"/>
      <name val="Arial"/>
    </font>
    <font>
      <sz val="16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44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3" borderId="0" applyNumberFormat="0" applyBorder="0" applyAlignment="0" applyProtection="0"/>
    <xf numFmtId="0" fontId="14" fillId="2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6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8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0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1" applyNumberFormat="0" applyAlignment="0" applyProtection="0"/>
    <xf numFmtId="0" fontId="18" fillId="18" borderId="2" applyNumberFormat="0" applyAlignment="0" applyProtection="0"/>
    <xf numFmtId="0" fontId="19" fillId="0" borderId="0" applyNumberFormat="0" applyFill="0" applyBorder="0" applyAlignment="0" applyProtection="0"/>
    <xf numFmtId="0" fontId="20" fillId="19" borderId="0" applyNumberFormat="0" applyBorder="0" applyAlignment="0" applyProtection="0"/>
    <xf numFmtId="0" fontId="21" fillId="0" borderId="3" applyNumberFormat="0" applyFill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24" fillId="11" borderId="1" applyNumberFormat="0" applyAlignment="0" applyProtection="0"/>
    <xf numFmtId="0" fontId="25" fillId="0" borderId="6" applyNumberFormat="0" applyFill="0" applyAlignment="0" applyProtection="0"/>
    <xf numFmtId="0" fontId="26" fillId="5" borderId="0" applyNumberFormat="0" applyBorder="0" applyAlignment="0" applyProtection="0"/>
    <xf numFmtId="0" fontId="3" fillId="5" borderId="7" applyNumberFormat="0" applyFont="0" applyAlignment="0" applyProtection="0"/>
    <xf numFmtId="0" fontId="27" fillId="17" borderId="8" applyNumberFormat="0" applyAlignment="0" applyProtection="0"/>
    <xf numFmtId="9" fontId="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</cellStyleXfs>
  <cellXfs count="42">
    <xf numFmtId="0" fontId="0" fillId="0" borderId="0" xfId="0"/>
    <xf numFmtId="0" fontId="4" fillId="0" borderId="0" xfId="34" applyAlignment="1" applyProtection="1"/>
    <xf numFmtId="0" fontId="6" fillId="0" borderId="0" xfId="0" applyFont="1"/>
    <xf numFmtId="0" fontId="5" fillId="0" borderId="0" xfId="0" applyFont="1"/>
    <xf numFmtId="0" fontId="0" fillId="20" borderId="0" xfId="0" applyFill="1"/>
    <xf numFmtId="0" fontId="11" fillId="0" borderId="0" xfId="0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right"/>
    </xf>
    <xf numFmtId="0" fontId="8" fillId="0" borderId="0" xfId="0" applyFont="1"/>
    <xf numFmtId="0" fontId="0" fillId="0" borderId="0" xfId="0" applyAlignment="1">
      <alignment horizontal="right"/>
    </xf>
    <xf numFmtId="0" fontId="3" fillId="0" borderId="0" xfId="0" applyFont="1" applyAlignment="1">
      <alignment horizontal="right"/>
    </xf>
    <xf numFmtId="0" fontId="9" fillId="20" borderId="0" xfId="0" applyFont="1" applyFill="1"/>
    <xf numFmtId="0" fontId="5" fillId="0" borderId="0" xfId="0" applyFont="1" applyAlignment="1">
      <alignment horizontal="left"/>
    </xf>
    <xf numFmtId="0" fontId="0" fillId="0" borderId="10" xfId="0" applyBorder="1"/>
    <xf numFmtId="0" fontId="13" fillId="0" borderId="0" xfId="0" applyFont="1"/>
    <xf numFmtId="0" fontId="12" fillId="0" borderId="0" xfId="0" applyFont="1" applyAlignment="1">
      <alignment horizontal="right"/>
    </xf>
    <xf numFmtId="0" fontId="3" fillId="0" borderId="0" xfId="0" applyFont="1"/>
    <xf numFmtId="0" fontId="3" fillId="0" borderId="11" xfId="0" applyFont="1" applyBorder="1"/>
    <xf numFmtId="0" fontId="2" fillId="0" borderId="11" xfId="0" applyFont="1" applyBorder="1"/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/>
    <xf numFmtId="9" fontId="1" fillId="0" borderId="7" xfId="40" applyBorder="1"/>
    <xf numFmtId="0" fontId="0" fillId="21" borderId="0" xfId="0" applyFill="1"/>
    <xf numFmtId="2" fontId="0" fillId="0" borderId="0" xfId="4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7" fillId="22" borderId="13" xfId="0" applyFont="1" applyFill="1" applyBorder="1" applyAlignment="1">
      <alignment horizontal="left" vertical="center"/>
    </xf>
    <xf numFmtId="0" fontId="7" fillId="22" borderId="13" xfId="0" applyFont="1" applyFill="1" applyBorder="1" applyAlignment="1">
      <alignment vertical="center"/>
    </xf>
    <xf numFmtId="0" fontId="7" fillId="22" borderId="13" xfId="0" applyFont="1" applyFill="1" applyBorder="1" applyAlignment="1">
      <alignment horizontal="center" vertical="center" wrapText="1"/>
    </xf>
    <xf numFmtId="164" fontId="7" fillId="22" borderId="13" xfId="0" applyNumberFormat="1" applyFont="1" applyFill="1" applyBorder="1" applyAlignment="1">
      <alignment horizontal="center" vertical="center"/>
    </xf>
    <xf numFmtId="0" fontId="7" fillId="22" borderId="13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readingOrder="1"/>
    </xf>
    <xf numFmtId="9" fontId="0" fillId="0" borderId="7" xfId="40" applyFont="1" applyBorder="1"/>
    <xf numFmtId="0" fontId="0" fillId="0" borderId="15" xfId="0" applyBorder="1"/>
    <xf numFmtId="0" fontId="0" fillId="0" borderId="7" xfId="0" quotePrefix="1" applyBorder="1"/>
    <xf numFmtId="9" fontId="1" fillId="23" borderId="7" xfId="40" applyFill="1" applyBorder="1"/>
    <xf numFmtId="14" fontId="0" fillId="0" borderId="14" xfId="0" applyNumberFormat="1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0" xfId="0" applyAlignment="1">
      <alignment horizontal="left" vertical="top" wrapText="1"/>
    </xf>
  </cellXfs>
  <cellStyles count="44">
    <cellStyle name="20 % - Accent1" xfId="1" builtinId="30" customBuiltin="1"/>
    <cellStyle name="20 % - Accent2" xfId="2" builtinId="34" customBuiltin="1"/>
    <cellStyle name="20 % - Accent3" xfId="3" builtinId="38" customBuiltin="1"/>
    <cellStyle name="20 % - Accent4" xfId="4" builtinId="42" customBuiltin="1"/>
    <cellStyle name="20 % - Accent5" xfId="5" builtinId="46" customBuiltin="1"/>
    <cellStyle name="20 % - Accent6" xfId="6" builtinId="50" customBuiltin="1"/>
    <cellStyle name="40 % - Accent1" xfId="7" builtinId="31" customBuiltin="1"/>
    <cellStyle name="40 % - Accent2" xfId="8" builtinId="35" customBuiltin="1"/>
    <cellStyle name="40 % - Accent3" xfId="9" builtinId="39" customBuiltin="1"/>
    <cellStyle name="40 % - Accent4" xfId="10" builtinId="43" customBuiltin="1"/>
    <cellStyle name="40 % - Accent5" xfId="11" builtinId="47" customBuiltin="1"/>
    <cellStyle name="40 % - Accent6" xfId="12" builtinId="51" customBuiltin="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vertissement" xfId="43" builtinId="11" customBuiltin="1"/>
    <cellStyle name="Calcul" xfId="26" builtinId="22" customBuiltin="1"/>
    <cellStyle name="Cellule liée" xfId="36" builtinId="24" customBuiltin="1"/>
    <cellStyle name="Entrée" xfId="35" builtinId="20" customBuiltin="1"/>
    <cellStyle name="Insatisfaisant" xfId="25" builtinId="27" customBuiltin="1"/>
    <cellStyle name="Lien hypertexte" xfId="34" builtinId="8"/>
    <cellStyle name="Neutre" xfId="37" builtinId="28" customBuiltin="1"/>
    <cellStyle name="Normal" xfId="0" builtinId="0"/>
    <cellStyle name="Note" xfId="38" builtinId="10" customBuiltin="1"/>
    <cellStyle name="Pourcentage" xfId="40" builtinId="5"/>
    <cellStyle name="Satisfaisant" xfId="29" builtinId="26" customBuiltin="1"/>
    <cellStyle name="Sortie" xfId="39" builtinId="21" customBuiltin="1"/>
    <cellStyle name="Texte explicatif" xfId="28" builtinId="53" customBuiltin="1"/>
    <cellStyle name="Titre" xfId="41" builtinId="15" customBuiltin="1"/>
    <cellStyle name="Titre 1" xfId="30" builtinId="16" customBuiltin="1"/>
    <cellStyle name="Titre 2" xfId="31" builtinId="17" customBuiltin="1"/>
    <cellStyle name="Titre 3" xfId="32" builtinId="18" customBuiltin="1"/>
    <cellStyle name="Titre 4" xfId="33" builtinId="19" customBuiltin="1"/>
    <cellStyle name="Total" xfId="42" builtinId="25" customBuiltin="1"/>
    <cellStyle name="Vérification" xfId="27" builtinId="23" customBuiltin="1"/>
  </cellStyles>
  <dxfs count="4">
    <dxf>
      <font>
        <condense val="0"/>
        <extend val="0"/>
        <color indexed="10"/>
      </font>
    </dxf>
    <dxf>
      <font>
        <condense val="0"/>
        <extend val="0"/>
        <color indexed="17"/>
      </font>
    </dxf>
    <dxf>
      <font>
        <condense val="0"/>
        <extend val="0"/>
        <color indexed="17"/>
      </font>
    </dxf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75430248588073"/>
          <c:y val="0.10236220472440945"/>
          <c:w val="0.8779614888602304"/>
          <c:h val="0.75984251968503935"/>
        </c:manualLayout>
      </c:layout>
      <c:lineChart>
        <c:grouping val="standard"/>
        <c:varyColors val="0"/>
        <c:ser>
          <c:idx val="0"/>
          <c:order val="0"/>
          <c:tx>
            <c:v>Planned Value (PV)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Report!$D$21:$Q$21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Report!$D$53:$Q$53</c:f>
              <c:numCache>
                <c:formatCode>General</c:formatCode>
                <c:ptCount val="14"/>
                <c:pt idx="0">
                  <c:v>40</c:v>
                </c:pt>
                <c:pt idx="1">
                  <c:v>118</c:v>
                </c:pt>
                <c:pt idx="2">
                  <c:v>198</c:v>
                </c:pt>
                <c:pt idx="3">
                  <c:v>234</c:v>
                </c:pt>
                <c:pt idx="4">
                  <c:v>274</c:v>
                </c:pt>
                <c:pt idx="5">
                  <c:v>422</c:v>
                </c:pt>
                <c:pt idx="6">
                  <c:v>448</c:v>
                </c:pt>
                <c:pt idx="7">
                  <c:v>520</c:v>
                </c:pt>
                <c:pt idx="8">
                  <c:v>560</c:v>
                </c:pt>
                <c:pt idx="9">
                  <c:v>684</c:v>
                </c:pt>
                <c:pt idx="10">
                  <c:v>826</c:v>
                </c:pt>
                <c:pt idx="11">
                  <c:v>866</c:v>
                </c:pt>
                <c:pt idx="12">
                  <c:v>966</c:v>
                </c:pt>
                <c:pt idx="13">
                  <c:v>1070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7-4BB5-85C2-863F16D3AB54}"/>
            </c:ext>
          </c:extLst>
        </c:ser>
        <c:ser>
          <c:idx val="1"/>
          <c:order val="1"/>
          <c:tx>
            <c:v>Earned Value (EV)</c:v>
          </c:tx>
          <c:spPr>
            <a:ln w="25400">
              <a:solidFill>
                <a:srgbClr val="0065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6500"/>
              </a:solidFill>
              <a:ln>
                <a:solidFill>
                  <a:srgbClr val="006500"/>
                </a:solidFill>
                <a:prstDash val="solid"/>
              </a:ln>
            </c:spPr>
          </c:marker>
          <c:cat>
            <c:numRef>
              <c:f>Report!$D$21:$Q$21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Report!$D$57:$Q$57</c:f>
              <c:numCache>
                <c:formatCode>General</c:formatCode>
                <c:ptCount val="14"/>
                <c:pt idx="0">
                  <c:v>52.72</c:v>
                </c:pt>
                <c:pt idx="1">
                  <c:v>112.74000000000001</c:v>
                </c:pt>
                <c:pt idx="2">
                  <c:v>153.96</c:v>
                </c:pt>
                <c:pt idx="3">
                  <c:v>226.48</c:v>
                </c:pt>
                <c:pt idx="4">
                  <c:v>267.39999999999998</c:v>
                </c:pt>
                <c:pt idx="5">
                  <c:v>346.71999999999997</c:v>
                </c:pt>
                <c:pt idx="6">
                  <c:v>433.43999999999994</c:v>
                </c:pt>
                <c:pt idx="7">
                  <c:v>470.15999999999997</c:v>
                </c:pt>
                <c:pt idx="8">
                  <c:v>506.88</c:v>
                </c:pt>
                <c:pt idx="9">
                  <c:v>610.40000000000009</c:v>
                </c:pt>
                <c:pt idx="10">
                  <c:v>723.92000000000007</c:v>
                </c:pt>
                <c:pt idx="11">
                  <c:v>791.43999999999994</c:v>
                </c:pt>
                <c:pt idx="12">
                  <c:v>861</c:v>
                </c:pt>
                <c:pt idx="13">
                  <c:v>954.2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77-4BB5-85C2-863F16D3AB54}"/>
            </c:ext>
          </c:extLst>
        </c:ser>
        <c:ser>
          <c:idx val="2"/>
          <c:order val="2"/>
          <c:tx>
            <c:v>Actual Cost (AC)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Report!$D$21:$Q$21</c:f>
              <c:numCache>
                <c:formatCode>General</c:formatCode>
                <c:ptCount val="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</c:numCache>
            </c:numRef>
          </c:cat>
          <c:val>
            <c:numRef>
              <c:f>Report!$D$56:$Q$56</c:f>
              <c:numCache>
                <c:formatCode>General</c:formatCode>
                <c:ptCount val="14"/>
                <c:pt idx="0">
                  <c:v>45</c:v>
                </c:pt>
                <c:pt idx="1">
                  <c:v>125</c:v>
                </c:pt>
                <c:pt idx="2">
                  <c:v>205</c:v>
                </c:pt>
                <c:pt idx="3">
                  <c:v>245</c:v>
                </c:pt>
                <c:pt idx="4">
                  <c:v>293</c:v>
                </c:pt>
                <c:pt idx="5">
                  <c:v>425</c:v>
                </c:pt>
                <c:pt idx="6">
                  <c:v>467</c:v>
                </c:pt>
                <c:pt idx="7">
                  <c:v>535</c:v>
                </c:pt>
                <c:pt idx="8">
                  <c:v>577</c:v>
                </c:pt>
                <c:pt idx="9">
                  <c:v>695</c:v>
                </c:pt>
                <c:pt idx="10">
                  <c:v>837</c:v>
                </c:pt>
                <c:pt idx="11">
                  <c:v>869</c:v>
                </c:pt>
                <c:pt idx="12">
                  <c:v>951</c:v>
                </c:pt>
                <c:pt idx="13">
                  <c:v>1055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77-4BB5-85C2-863F16D3A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75328"/>
        <c:axId val="190614912"/>
      </c:lineChart>
      <c:catAx>
        <c:axId val="188275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Period (in weeks)</a:t>
                </a:r>
              </a:p>
            </c:rich>
          </c:tx>
          <c:layout>
            <c:manualLayout>
              <c:xMode val="edge"/>
              <c:yMode val="edge"/>
              <c:x val="0.47541068172722017"/>
              <c:y val="0.7677165354330708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90614912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90614912"/>
        <c:scaling>
          <c:orientation val="minMax"/>
        </c:scaling>
        <c:delete val="0"/>
        <c:axPos val="l"/>
        <c:numFmt formatCode="\$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882753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389825232356473"/>
          <c:y val="9.055118110236221E-2"/>
          <c:w val="0.30418997643082668"/>
          <c:h val="0.2755905511811023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15</xdr:col>
      <xdr:colOff>1</xdr:colOff>
      <xdr:row>17</xdr:row>
      <xdr:rowOff>152400</xdr:rowOff>
    </xdr:to>
    <xdr:graphicFrame macro="">
      <xdr:nvGraphicFramePr>
        <xdr:cNvPr id="1063" name="Chart 39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42 - TRUE BLUE(purple) CLASSIC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39"/>
  <sheetViews>
    <sheetView showGridLines="0" workbookViewId="0">
      <selection activeCell="H31" sqref="H31"/>
    </sheetView>
  </sheetViews>
  <sheetFormatPr baseColWidth="10" defaultColWidth="9" defaultRowHeight="12.5" x14ac:dyDescent="0.25"/>
  <cols>
    <col min="1" max="1" width="6.54296875" customWidth="1"/>
    <col min="2" max="2" width="25.54296875" customWidth="1"/>
    <col min="3" max="3" width="6.453125" customWidth="1"/>
    <col min="4" max="15" width="8.7265625" customWidth="1"/>
    <col min="17" max="17" width="10.6328125" customWidth="1"/>
  </cols>
  <sheetData>
    <row r="1" spans="1:17" ht="20" x14ac:dyDescent="0.4">
      <c r="A1" s="14" t="s">
        <v>0</v>
      </c>
    </row>
    <row r="2" spans="1:17" ht="15.5" x14ac:dyDescent="0.35">
      <c r="A2" s="2"/>
    </row>
    <row r="3" spans="1:17" ht="13" x14ac:dyDescent="0.3">
      <c r="A3" s="8" t="s">
        <v>1</v>
      </c>
      <c r="Q3" s="1"/>
    </row>
    <row r="4" spans="1:17" ht="13" x14ac:dyDescent="0.3">
      <c r="A4" s="8" t="s">
        <v>2</v>
      </c>
      <c r="Q4" s="12"/>
    </row>
    <row r="5" spans="1:17" ht="13" x14ac:dyDescent="0.3">
      <c r="A5" s="8" t="s">
        <v>3</v>
      </c>
      <c r="D5" s="8"/>
    </row>
    <row r="7" spans="1:17" ht="17.5" x14ac:dyDescent="0.35">
      <c r="A7" s="2" t="s">
        <v>4</v>
      </c>
      <c r="D7" s="8"/>
      <c r="O7" s="15"/>
    </row>
    <row r="8" spans="1:17" ht="13" x14ac:dyDescent="0.25">
      <c r="A8" s="28" t="s">
        <v>5</v>
      </c>
      <c r="B8" s="29" t="s">
        <v>6</v>
      </c>
      <c r="C8" s="30" t="s">
        <v>7</v>
      </c>
      <c r="D8" s="31" t="s">
        <v>8</v>
      </c>
      <c r="E8" s="31" t="s">
        <v>9</v>
      </c>
      <c r="F8" s="31" t="s">
        <v>10</v>
      </c>
      <c r="G8" s="31" t="s">
        <v>11</v>
      </c>
      <c r="H8" s="31" t="s">
        <v>12</v>
      </c>
      <c r="I8" s="31" t="s">
        <v>13</v>
      </c>
      <c r="J8" s="31" t="s">
        <v>14</v>
      </c>
      <c r="K8" s="31" t="s">
        <v>15</v>
      </c>
      <c r="L8" s="31" t="s">
        <v>16</v>
      </c>
      <c r="M8" s="31" t="s">
        <v>17</v>
      </c>
      <c r="N8" s="31" t="s">
        <v>18</v>
      </c>
      <c r="O8" s="31" t="s">
        <v>19</v>
      </c>
      <c r="P8" s="31" t="s">
        <v>50</v>
      </c>
      <c r="Q8" s="31" t="s">
        <v>51</v>
      </c>
    </row>
    <row r="9" spans="1:17" x14ac:dyDescent="0.25">
      <c r="A9" s="6">
        <f>IF(ISBLANK(Report!A22)," - ",Report!A22)</f>
        <v>1.1000000000000001</v>
      </c>
      <c r="B9" t="str">
        <f>IF(ISBLANK(Report!B22)," - ",Report!B22)</f>
        <v>Arm prototyping &amp; printing</v>
      </c>
      <c r="C9">
        <f>Report!C22</f>
        <v>10</v>
      </c>
      <c r="D9" s="24"/>
      <c r="E9" s="24">
        <v>0.15</v>
      </c>
      <c r="F9" s="24">
        <v>0.5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</row>
    <row r="10" spans="1:17" x14ac:dyDescent="0.25">
      <c r="A10" s="6">
        <f>IF(ISBLANK(Report!A23)," - ",Report!A23)</f>
        <v>1.2</v>
      </c>
      <c r="B10" t="str">
        <f>IF(ISBLANK(Report!B23)," - ",Report!B23)</f>
        <v>Assembling model</v>
      </c>
      <c r="C10">
        <f>Report!C23</f>
        <v>4</v>
      </c>
      <c r="D10" s="24"/>
      <c r="E10" s="24"/>
      <c r="F10" s="24"/>
      <c r="G10" s="24"/>
      <c r="H10" s="24">
        <v>1</v>
      </c>
      <c r="I10" s="24">
        <v>1</v>
      </c>
      <c r="J10" s="24">
        <v>1</v>
      </c>
      <c r="K10" s="24">
        <v>1</v>
      </c>
      <c r="L10" s="24">
        <v>1</v>
      </c>
      <c r="M10" s="24">
        <v>1</v>
      </c>
      <c r="N10" s="24">
        <v>1</v>
      </c>
      <c r="O10" s="24">
        <v>1</v>
      </c>
      <c r="P10" s="24">
        <v>1</v>
      </c>
      <c r="Q10" s="24">
        <v>1</v>
      </c>
    </row>
    <row r="11" spans="1:17" x14ac:dyDescent="0.25">
      <c r="A11" s="6">
        <f>IF(ISBLANK(Report!A24)," - ",Report!A24)</f>
        <v>2.1</v>
      </c>
      <c r="B11" t="str">
        <f>IF(ISBLANK(Report!B24)," - ",Report!B24)</f>
        <v>Sorter prototyping &amp; wood cutting</v>
      </c>
      <c r="C11">
        <f>Report!C24</f>
        <v>30</v>
      </c>
      <c r="D11" s="24"/>
      <c r="E11" s="24"/>
      <c r="F11" s="24"/>
      <c r="G11" s="24"/>
      <c r="H11" s="24"/>
      <c r="I11" s="24"/>
      <c r="J11" s="24"/>
      <c r="K11" s="24"/>
      <c r="L11" s="24"/>
      <c r="M11" s="24">
        <v>1</v>
      </c>
      <c r="N11" s="24">
        <v>1</v>
      </c>
      <c r="O11" s="24">
        <v>1</v>
      </c>
      <c r="P11" s="24">
        <v>1</v>
      </c>
      <c r="Q11" s="24">
        <v>1</v>
      </c>
    </row>
    <row r="12" spans="1:17" x14ac:dyDescent="0.25">
      <c r="A12" s="6">
        <f>IF(ISBLANK(Report!A25)," - ",Report!A25)</f>
        <v>2.2000000000000002</v>
      </c>
      <c r="B12" t="str">
        <f>IF(ISBLANK(Report!B25)," - ",Report!B25)</f>
        <v>Change motor (hard+soft)</v>
      </c>
      <c r="C12">
        <f>Report!C25</f>
        <v>10</v>
      </c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>
        <v>1</v>
      </c>
      <c r="O12" s="24">
        <v>1</v>
      </c>
      <c r="P12" s="24">
        <v>1</v>
      </c>
      <c r="Q12" s="24">
        <v>1</v>
      </c>
    </row>
    <row r="13" spans="1:17" x14ac:dyDescent="0.25">
      <c r="A13" s="6">
        <f>IF(ISBLANK(Report!A26)," - ",Report!A26)</f>
        <v>2.2999999999999998</v>
      </c>
      <c r="B13" t="str">
        <f>IF(ISBLANK(Report!B26)," - ",Report!B26)</f>
        <v>Assembling model</v>
      </c>
      <c r="C13">
        <f>Report!C26</f>
        <v>4</v>
      </c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>
        <v>1</v>
      </c>
      <c r="P13" s="24">
        <v>1</v>
      </c>
      <c r="Q13" s="24">
        <v>1</v>
      </c>
    </row>
    <row r="14" spans="1:17" x14ac:dyDescent="0.25">
      <c r="A14" s="6">
        <f>IF(ISBLANK(Report!A27)," - ",Report!A27)</f>
        <v>2.4</v>
      </c>
      <c r="B14" t="str">
        <f>IF(ISBLANK(Report!B27)," - ",Report!B27)</f>
        <v>Update code</v>
      </c>
      <c r="C14">
        <f>Report!C27</f>
        <v>8</v>
      </c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>
        <v>1</v>
      </c>
      <c r="P14" s="24">
        <v>1</v>
      </c>
      <c r="Q14" s="24">
        <v>1</v>
      </c>
    </row>
    <row r="15" spans="1:17" x14ac:dyDescent="0.25">
      <c r="A15" s="6">
        <f>IF(ISBLANK(Report!A28)," - ",Report!A28)</f>
        <v>3.1</v>
      </c>
      <c r="B15" t="str">
        <f>IF(ISBLANK(Report!B28)," - ",Report!B28)</f>
        <v>Code the Thrower</v>
      </c>
      <c r="C15">
        <f>Report!C28</f>
        <v>20</v>
      </c>
      <c r="D15" s="24"/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v>1</v>
      </c>
      <c r="M15" s="24">
        <v>1</v>
      </c>
      <c r="N15" s="24">
        <v>1</v>
      </c>
      <c r="O15" s="24">
        <v>1</v>
      </c>
      <c r="P15" s="24">
        <v>1</v>
      </c>
      <c r="Q15" s="24">
        <v>1</v>
      </c>
    </row>
    <row r="16" spans="1:17" x14ac:dyDescent="0.25">
      <c r="A16" s="6">
        <f>IF(ISBLANK(Report!A29)," - ",Report!A29)</f>
        <v>3.2</v>
      </c>
      <c r="B16" t="str">
        <f>IF(ISBLANK(Report!B29)," - ",Report!B29)</f>
        <v>Electrical mounting</v>
      </c>
      <c r="C16">
        <f>Report!C29</f>
        <v>20</v>
      </c>
      <c r="D16" s="24"/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</row>
    <row r="17" spans="1:17" x14ac:dyDescent="0.25">
      <c r="A17" s="6">
        <f>IF(ISBLANK(Report!A30)," - ",Report!A30)</f>
        <v>3.3</v>
      </c>
      <c r="B17" t="str">
        <f>IF(ISBLANK(Report!B30)," - ",Report!B30)</f>
        <v>Datasheet on PWM</v>
      </c>
      <c r="C17">
        <f>Report!C30</f>
        <v>8</v>
      </c>
      <c r="D17" s="24"/>
      <c r="E17" s="24"/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</row>
    <row r="18" spans="1:17" x14ac:dyDescent="0.25">
      <c r="A18" s="6">
        <f>IF(ISBLANK(Report!A31)," - ",Report!A31)</f>
        <v>4.0999999999999996</v>
      </c>
      <c r="B18" t="str">
        <f>IF(ISBLANK(Report!B31)," - ",Report!B31)</f>
        <v>Executable &amp; Initialisation fn</v>
      </c>
      <c r="C18">
        <f>Report!C31</f>
        <v>20</v>
      </c>
      <c r="D18" s="24"/>
      <c r="E18" s="24"/>
      <c r="F18" s="24"/>
      <c r="G18" s="24">
        <v>0.4</v>
      </c>
      <c r="H18" s="24">
        <v>0.6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</row>
    <row r="19" spans="1:17" x14ac:dyDescent="0.25">
      <c r="A19" s="6">
        <f>IF(ISBLANK(Report!A32)," - ",Report!A32)</f>
        <v>4.2</v>
      </c>
      <c r="B19" t="str">
        <f>IF(ISBLANK(Report!B32)," - ",Report!B32)</f>
        <v>Cleaning code, error cabling ...</v>
      </c>
      <c r="C19">
        <f>Report!C32</f>
        <v>32</v>
      </c>
      <c r="D19" s="24"/>
      <c r="E19" s="24"/>
      <c r="F19" s="24"/>
      <c r="G19" s="24"/>
      <c r="H19" s="24">
        <v>0.5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1</v>
      </c>
    </row>
    <row r="20" spans="1:17" x14ac:dyDescent="0.25">
      <c r="A20" s="6">
        <f>IF(ISBLANK(Report!A33)," - ",Report!A33)</f>
        <v>4.3</v>
      </c>
      <c r="B20" t="str">
        <f>IF(ISBLANK(Report!B33)," - ",Report!B33)</f>
        <v>Update all RIO cards</v>
      </c>
      <c r="C20">
        <f>Report!C33</f>
        <v>4</v>
      </c>
      <c r="D20" s="24"/>
      <c r="E20" s="24"/>
      <c r="F20" s="24"/>
      <c r="G20" s="24"/>
      <c r="H20" s="24"/>
      <c r="I20" s="24">
        <v>1</v>
      </c>
      <c r="J20" s="24">
        <v>1</v>
      </c>
      <c r="K20" s="24">
        <v>1</v>
      </c>
      <c r="L20" s="24">
        <v>1</v>
      </c>
      <c r="M20" s="24">
        <v>1</v>
      </c>
      <c r="N20" s="24">
        <v>1</v>
      </c>
      <c r="O20" s="24">
        <v>1</v>
      </c>
      <c r="P20" s="24">
        <v>1</v>
      </c>
      <c r="Q20" s="24">
        <v>1</v>
      </c>
    </row>
    <row r="21" spans="1:17" x14ac:dyDescent="0.25">
      <c r="A21" s="6">
        <f>IF(ISBLANK(Report!A34)," - ",Report!A34)</f>
        <v>4.4000000000000004</v>
      </c>
      <c r="B21" t="str">
        <f>IF(ISBLANK(Report!B34)," - ",Report!B34)</f>
        <v>Real Time</v>
      </c>
      <c r="C21">
        <f>Report!C34</f>
        <v>56</v>
      </c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</row>
    <row r="22" spans="1:17" x14ac:dyDescent="0.25">
      <c r="A22" s="6">
        <f>IF(ISBLANK(Report!A35)," - ",Report!A35)</f>
        <v>5.0999999999999996</v>
      </c>
      <c r="B22" t="str">
        <f>IF(ISBLANK(Report!B35)," - ",Report!B35)</f>
        <v>Supply PCB prototyping</v>
      </c>
      <c r="C22">
        <f>Report!C35</f>
        <v>28</v>
      </c>
      <c r="D22" s="24"/>
      <c r="E22" s="24">
        <v>0.15</v>
      </c>
      <c r="F22" s="24">
        <v>0.3</v>
      </c>
      <c r="G22" s="24">
        <v>0.45</v>
      </c>
      <c r="H22" s="24">
        <v>0.6</v>
      </c>
      <c r="I22" s="24">
        <v>0.8</v>
      </c>
      <c r="J22" s="24">
        <v>0.8</v>
      </c>
      <c r="K22" s="24">
        <v>0.8</v>
      </c>
      <c r="L22" s="24">
        <v>0.8</v>
      </c>
      <c r="M22" s="24">
        <v>0.8</v>
      </c>
      <c r="N22" s="24">
        <v>0.8</v>
      </c>
      <c r="O22" s="24">
        <v>0.8</v>
      </c>
      <c r="P22" s="24">
        <v>1</v>
      </c>
      <c r="Q22" s="24">
        <v>1</v>
      </c>
    </row>
    <row r="23" spans="1:17" x14ac:dyDescent="0.25">
      <c r="A23" s="6">
        <f>IF(ISBLANK(Report!A36)," - ",Report!A36)</f>
        <v>5.2</v>
      </c>
      <c r="B23" t="str">
        <f>IF(ISBLANK(Report!B36)," - ",Report!B36)</f>
        <v>Data PCB Prototyping</v>
      </c>
      <c r="C23">
        <f>Report!C36</f>
        <v>80</v>
      </c>
      <c r="D23" s="24"/>
      <c r="E23" s="24"/>
      <c r="F23" s="24"/>
      <c r="G23" s="24"/>
      <c r="H23" s="24"/>
      <c r="I23" s="24"/>
      <c r="J23" s="24">
        <v>0.3</v>
      </c>
      <c r="K23" s="24">
        <v>0.5</v>
      </c>
      <c r="L23" s="24">
        <v>0.8</v>
      </c>
      <c r="M23" s="24">
        <v>1</v>
      </c>
      <c r="N23" s="24">
        <v>1</v>
      </c>
      <c r="O23" s="24">
        <v>1</v>
      </c>
      <c r="P23" s="24">
        <v>1</v>
      </c>
      <c r="Q23" s="24">
        <v>1</v>
      </c>
    </row>
    <row r="24" spans="1:17" x14ac:dyDescent="0.25">
      <c r="A24" s="6">
        <f>IF(ISBLANK(Report!A37)," - ",Report!A37)</f>
        <v>5.3</v>
      </c>
      <c r="B24" t="str">
        <f>IF(ISBLANK(Report!B37)," - ",Report!B37)</f>
        <v>PCB Deployment &amp; integration</v>
      </c>
      <c r="C24">
        <f>Report!C37</f>
        <v>32</v>
      </c>
      <c r="D24" s="24"/>
      <c r="E24" s="24"/>
      <c r="F24" s="24"/>
      <c r="G24" s="24"/>
      <c r="H24" s="24"/>
      <c r="I24" s="24"/>
      <c r="J24" s="24"/>
      <c r="K24" s="24"/>
      <c r="L24" s="24"/>
      <c r="M24" s="24">
        <v>0.15</v>
      </c>
      <c r="N24" s="24">
        <v>0.5</v>
      </c>
      <c r="O24" s="24">
        <v>0.6</v>
      </c>
      <c r="P24" s="24">
        <v>0.8</v>
      </c>
      <c r="Q24" s="24">
        <v>1</v>
      </c>
    </row>
    <row r="25" spans="1:17" x14ac:dyDescent="0.25">
      <c r="A25" s="6">
        <f>IF(ISBLANK(Report!A38)," - ",Report!A38)</f>
        <v>6.1</v>
      </c>
      <c r="B25" t="str">
        <f>IF(ISBLANK(Report!B38)," - ",Report!B38)</f>
        <v>Lidar - Research &amp; command</v>
      </c>
      <c r="C25">
        <f>Report!C38</f>
        <v>8</v>
      </c>
      <c r="D25" s="24"/>
      <c r="E25" s="24"/>
      <c r="F25" s="24"/>
      <c r="G25" s="24"/>
      <c r="H25" s="24"/>
      <c r="I25" s="24"/>
      <c r="J25" s="24"/>
      <c r="K25" s="24">
        <v>1</v>
      </c>
      <c r="L25" s="24">
        <v>1</v>
      </c>
      <c r="M25" s="24">
        <v>1</v>
      </c>
      <c r="N25" s="24">
        <v>1</v>
      </c>
      <c r="O25" s="24">
        <v>1</v>
      </c>
      <c r="P25" s="24">
        <v>1</v>
      </c>
      <c r="Q25" s="24">
        <v>1</v>
      </c>
    </row>
    <row r="26" spans="1:17" x14ac:dyDescent="0.25">
      <c r="A26" s="6">
        <f>IF(ISBLANK(Report!A39)," - ",Report!A39)</f>
        <v>6.2</v>
      </c>
      <c r="B26" t="str">
        <f>IF(ISBLANK(Report!B39)," - ",Report!B39)</f>
        <v>Lidar - Cabling &amp; Data sending</v>
      </c>
      <c r="C26">
        <f>Report!C39</f>
        <v>80</v>
      </c>
      <c r="D26" s="24"/>
      <c r="E26" s="24"/>
      <c r="F26" s="24"/>
      <c r="G26" s="24"/>
      <c r="H26" s="24"/>
      <c r="I26" s="24"/>
      <c r="J26" s="24"/>
      <c r="K26" s="24"/>
      <c r="L26" s="24"/>
      <c r="M26" s="24">
        <v>0.5</v>
      </c>
      <c r="N26" s="24">
        <v>1</v>
      </c>
      <c r="O26" s="24">
        <v>1</v>
      </c>
      <c r="P26" s="24">
        <v>1</v>
      </c>
      <c r="Q26" s="24">
        <v>1</v>
      </c>
    </row>
    <row r="27" spans="1:17" x14ac:dyDescent="0.25">
      <c r="A27" s="6">
        <f>IF(ISBLANK(Report!A40)," - ",Report!A40)</f>
        <v>6.3</v>
      </c>
      <c r="B27" t="str">
        <f>IF(ISBLANK(Report!B40)," - ",Report!B40)</f>
        <v>Lidar - Data treatment</v>
      </c>
      <c r="C27">
        <f>Report!C40</f>
        <v>120</v>
      </c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>
        <v>0.33</v>
      </c>
      <c r="O27" s="24">
        <v>0.66</v>
      </c>
      <c r="P27" s="24">
        <v>0.8</v>
      </c>
      <c r="Q27" s="24">
        <v>1</v>
      </c>
    </row>
    <row r="28" spans="1:17" x14ac:dyDescent="0.25">
      <c r="A28" s="6">
        <f>IF(ISBLANK(Report!A41)," - ",Report!A41)</f>
        <v>6.4</v>
      </c>
      <c r="B28" t="str">
        <f>IF(ISBLANK(Report!B41)," - ",Report!B41)</f>
        <v>Lidar - Integration on robot</v>
      </c>
      <c r="C28">
        <f>Report!C41</f>
        <v>4</v>
      </c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>
        <v>1</v>
      </c>
      <c r="Q28" s="24">
        <v>1</v>
      </c>
    </row>
    <row r="29" spans="1:17" x14ac:dyDescent="0.25">
      <c r="A29" s="6">
        <f>IF(ISBLANK(Report!A42)," - ",Report!A42)</f>
        <v>7.1</v>
      </c>
      <c r="B29" t="str">
        <f>IF(ISBLANK(Report!B42)," - ",Report!B42)</f>
        <v>Brainstorming Scenarii &amp; details</v>
      </c>
      <c r="C29">
        <f>Report!C42</f>
        <v>8</v>
      </c>
      <c r="D29" s="24"/>
      <c r="E29" s="24">
        <v>0.2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v>1</v>
      </c>
      <c r="M29" s="24">
        <v>1</v>
      </c>
      <c r="N29" s="24">
        <v>1</v>
      </c>
      <c r="O29" s="24">
        <v>1</v>
      </c>
      <c r="P29" s="24">
        <v>1</v>
      </c>
      <c r="Q29" s="24">
        <v>1</v>
      </c>
    </row>
    <row r="30" spans="1:17" x14ac:dyDescent="0.25">
      <c r="A30" s="6">
        <f>IF(ISBLANK(Report!A43)," - ",Report!A43)</f>
        <v>7.2</v>
      </c>
      <c r="B30" t="str">
        <f>IF(ISBLANK(Report!B43)," - ",Report!B43)</f>
        <v>Scenario 1</v>
      </c>
      <c r="C30">
        <f>Report!C43</f>
        <v>16</v>
      </c>
      <c r="D30" s="24"/>
      <c r="E30" s="24"/>
      <c r="F30" s="24">
        <v>0.4</v>
      </c>
      <c r="G30" s="24">
        <v>1</v>
      </c>
      <c r="H30" s="24">
        <v>1</v>
      </c>
      <c r="I30" s="24">
        <v>1</v>
      </c>
      <c r="J30" s="24">
        <v>1</v>
      </c>
      <c r="K30" s="24">
        <v>1</v>
      </c>
      <c r="L30" s="24">
        <v>1</v>
      </c>
      <c r="M30" s="24">
        <v>1</v>
      </c>
      <c r="N30" s="24">
        <v>1</v>
      </c>
      <c r="O30" s="24">
        <v>1</v>
      </c>
      <c r="P30" s="24">
        <v>1</v>
      </c>
      <c r="Q30" s="24">
        <v>1</v>
      </c>
    </row>
    <row r="31" spans="1:17" x14ac:dyDescent="0.25">
      <c r="A31" s="6">
        <f>IF(ISBLANK(Report!A44)," - ",Report!A44)</f>
        <v>7.3</v>
      </c>
      <c r="B31" t="str">
        <f>IF(ISBLANK(Report!B44)," - ",Report!B44)</f>
        <v>Scenario 2</v>
      </c>
      <c r="C31">
        <f>Report!C44</f>
        <v>100</v>
      </c>
      <c r="D31" s="24"/>
      <c r="E31" s="24"/>
      <c r="F31" s="24"/>
      <c r="G31" s="24">
        <v>0.33</v>
      </c>
      <c r="H31" s="24">
        <v>0.33</v>
      </c>
      <c r="I31" s="24">
        <v>0.66</v>
      </c>
      <c r="J31" s="24">
        <v>1</v>
      </c>
      <c r="K31" s="24">
        <v>1</v>
      </c>
      <c r="L31" s="24">
        <v>1</v>
      </c>
      <c r="M31" s="34">
        <v>1</v>
      </c>
      <c r="N31" s="34">
        <v>1</v>
      </c>
      <c r="O31" s="34">
        <v>1</v>
      </c>
      <c r="P31" s="34">
        <v>1</v>
      </c>
      <c r="Q31" s="34">
        <v>1</v>
      </c>
    </row>
    <row r="32" spans="1:17" x14ac:dyDescent="0.25">
      <c r="A32" s="6">
        <f>IF(ISBLANK(Report!A45)," - ",Report!A45)</f>
        <v>7.4</v>
      </c>
      <c r="B32" t="str">
        <f>IF(ISBLANK(Report!B45)," - ",Report!B45)</f>
        <v>Scenario 3</v>
      </c>
      <c r="C32">
        <f>Report!C45</f>
        <v>18</v>
      </c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>
        <v>0.8</v>
      </c>
      <c r="Q32" s="24">
        <v>0.9</v>
      </c>
    </row>
    <row r="33" spans="1:17" x14ac:dyDescent="0.25">
      <c r="A33" s="6">
        <f>IF(ISBLANK(Report!A46)," - ",Report!A46)</f>
        <v>7.5</v>
      </c>
      <c r="B33" t="str">
        <f>IF(ISBLANK(Report!B46)," - ",Report!B46)</f>
        <v>Scenario 4</v>
      </c>
      <c r="C33">
        <f>Report!C46</f>
        <v>58</v>
      </c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</row>
    <row r="34" spans="1:17" x14ac:dyDescent="0.25">
      <c r="A34" s="6">
        <f>IF(ISBLANK(Report!A47)," - ",Report!A47)</f>
        <v>8.1</v>
      </c>
      <c r="B34" t="str">
        <f>IF(ISBLANK(Report!B47)," - ",Report!B47)</f>
        <v>Preparation &amp; Participation NI</v>
      </c>
      <c r="C34">
        <f>Report!C47</f>
        <v>40</v>
      </c>
      <c r="D34" s="24">
        <v>1</v>
      </c>
      <c r="E34" s="24">
        <v>1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4">
        <v>1</v>
      </c>
    </row>
    <row r="35" spans="1:17" x14ac:dyDescent="0.25">
      <c r="A35" s="6">
        <f>IF(ISBLANK(Report!A48)," - ",Report!A48)</f>
        <v>9.1</v>
      </c>
      <c r="B35" t="str">
        <f>IF(ISBLANK(Report!B48)," - ",Report!B48)</f>
        <v>Weekly &amp; project management</v>
      </c>
      <c r="C35">
        <f>Report!C48</f>
        <v>212</v>
      </c>
      <c r="D35" s="24">
        <v>0.06</v>
      </c>
      <c r="E35" s="24">
        <v>0.12</v>
      </c>
      <c r="F35" s="24">
        <v>0.18</v>
      </c>
      <c r="G35" s="24">
        <v>0.24</v>
      </c>
      <c r="H35" s="24">
        <v>0.3</v>
      </c>
      <c r="I35" s="24">
        <v>0.36</v>
      </c>
      <c r="J35" s="24">
        <v>0.42</v>
      </c>
      <c r="K35" s="24">
        <v>0.48</v>
      </c>
      <c r="L35" s="24">
        <v>0.54</v>
      </c>
      <c r="M35" s="24">
        <v>0.6</v>
      </c>
      <c r="N35" s="24">
        <v>0.66</v>
      </c>
      <c r="O35" s="24">
        <v>0.72</v>
      </c>
      <c r="P35" s="24">
        <v>0.75</v>
      </c>
      <c r="Q35" s="24">
        <v>1</v>
      </c>
    </row>
    <row r="36" spans="1:17" x14ac:dyDescent="0.25">
      <c r="A36" s="6">
        <f>IF(ISBLANK(Report!A49)," - ",Report!A49)</f>
        <v>10.1</v>
      </c>
      <c r="B36" t="str">
        <f>IF(ISBLANK(Report!B49)," - ",Report!B49)</f>
        <v>Handover</v>
      </c>
      <c r="C36">
        <f>Report!C49</f>
        <v>8</v>
      </c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>
        <v>1</v>
      </c>
    </row>
    <row r="37" spans="1:17" x14ac:dyDescent="0.25">
      <c r="A37" s="6">
        <f>IF(ISBLANK(Report!A50)," - ",Report!A50)</f>
        <v>11.1</v>
      </c>
      <c r="B37" t="str">
        <f>IF(ISBLANK(Report!B50)," - ",Report!B50)</f>
        <v>JPO presentation</v>
      </c>
      <c r="C37">
        <f>Report!C50</f>
        <v>32</v>
      </c>
      <c r="D37" s="24"/>
      <c r="E37" s="24"/>
      <c r="F37" s="24"/>
      <c r="G37" s="24"/>
      <c r="H37" s="24"/>
      <c r="I37" s="24"/>
      <c r="J37" s="24">
        <v>0.5</v>
      </c>
      <c r="K37" s="24">
        <v>0.5</v>
      </c>
      <c r="L37" s="24">
        <v>0.5</v>
      </c>
      <c r="M37" s="24">
        <v>0.5</v>
      </c>
      <c r="N37" s="24">
        <v>0.5</v>
      </c>
      <c r="O37" s="24">
        <v>0.5</v>
      </c>
      <c r="P37" s="24">
        <v>1</v>
      </c>
      <c r="Q37" s="24">
        <v>1</v>
      </c>
    </row>
    <row r="38" spans="1:17" x14ac:dyDescent="0.25">
      <c r="A38" s="11" t="s">
        <v>20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3" x14ac:dyDescent="0.3">
      <c r="C39" s="7" t="s">
        <v>21</v>
      </c>
      <c r="D39" s="17">
        <f>SUMPRODUCT(D9:D38,$C$9:$C$38)</f>
        <v>52.72</v>
      </c>
      <c r="E39" s="17">
        <f t="shared" ref="E39:O39" si="0">SUMPRODUCT(E9:E38,$C$9:$C$38)</f>
        <v>112.74000000000001</v>
      </c>
      <c r="F39" s="17">
        <f t="shared" si="0"/>
        <v>153.96</v>
      </c>
      <c r="G39" s="17">
        <f t="shared" si="0"/>
        <v>226.48</v>
      </c>
      <c r="H39" s="17">
        <f t="shared" si="0"/>
        <v>267.39999999999998</v>
      </c>
      <c r="I39" s="17">
        <f t="shared" si="0"/>
        <v>346.71999999999997</v>
      </c>
      <c r="J39" s="17">
        <f t="shared" si="0"/>
        <v>433.43999999999994</v>
      </c>
      <c r="K39" s="17">
        <f t="shared" si="0"/>
        <v>470.15999999999997</v>
      </c>
      <c r="L39" s="17">
        <f t="shared" si="0"/>
        <v>506.88</v>
      </c>
      <c r="M39" s="17">
        <f t="shared" si="0"/>
        <v>610.40000000000009</v>
      </c>
      <c r="N39" s="17">
        <f t="shared" si="0"/>
        <v>723.92000000000007</v>
      </c>
      <c r="O39" s="17">
        <f t="shared" si="0"/>
        <v>791.43999999999994</v>
      </c>
      <c r="P39" s="17">
        <f t="shared" ref="P39:Q39" si="1">SUMPRODUCT(P9:P38,$C$9:$C$38)</f>
        <v>861</v>
      </c>
      <c r="Q39" s="17">
        <f t="shared" si="1"/>
        <v>954.2</v>
      </c>
    </row>
  </sheetData>
  <phoneticPr fontId="5" type="noConversion"/>
  <pageMargins left="0.5" right="0.5" top="0.25" bottom="0.25" header="0.5" footer="0.25"/>
  <pageSetup scale="93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64"/>
  <sheetViews>
    <sheetView showGridLines="0" tabSelected="1" topLeftCell="C1" zoomScaleNormal="100" workbookViewId="0">
      <selection activeCell="B10" sqref="B10:E18"/>
    </sheetView>
  </sheetViews>
  <sheetFormatPr baseColWidth="10" defaultColWidth="9" defaultRowHeight="12.5" x14ac:dyDescent="0.25"/>
  <cols>
    <col min="1" max="1" width="6.54296875" customWidth="1"/>
    <col min="2" max="2" width="28" customWidth="1"/>
    <col min="3" max="3" width="7.81640625" customWidth="1"/>
    <col min="4" max="16" width="8.7265625" customWidth="1"/>
    <col min="18" max="18" width="15.81640625" customWidth="1"/>
  </cols>
  <sheetData>
    <row r="1" spans="1:18" ht="20" x14ac:dyDescent="0.4">
      <c r="A1" s="14" t="s">
        <v>74</v>
      </c>
      <c r="O1" s="15"/>
      <c r="P1" s="15"/>
    </row>
    <row r="2" spans="1:18" ht="15.5" x14ac:dyDescent="0.35">
      <c r="A2" s="2" t="s">
        <v>22</v>
      </c>
    </row>
    <row r="3" spans="1:18" x14ac:dyDescent="0.25">
      <c r="R3" s="1"/>
    </row>
    <row r="4" spans="1:18" x14ac:dyDescent="0.25">
      <c r="B4" s="9" t="s">
        <v>23</v>
      </c>
      <c r="C4" s="13" t="s">
        <v>75</v>
      </c>
      <c r="D4" s="13"/>
      <c r="E4" s="13"/>
      <c r="R4" s="12"/>
    </row>
    <row r="5" spans="1:18" x14ac:dyDescent="0.25">
      <c r="B5" s="9" t="s">
        <v>24</v>
      </c>
      <c r="C5" s="38">
        <v>43532</v>
      </c>
      <c r="D5" s="39"/>
    </row>
    <row r="6" spans="1:18" x14ac:dyDescent="0.25">
      <c r="C6" s="5" t="s">
        <v>25</v>
      </c>
    </row>
    <row r="7" spans="1:18" x14ac:dyDescent="0.25">
      <c r="B7" s="9" t="s">
        <v>26</v>
      </c>
      <c r="C7" s="40" t="s">
        <v>76</v>
      </c>
      <c r="D7" s="40"/>
    </row>
    <row r="8" spans="1:18" x14ac:dyDescent="0.25">
      <c r="C8" s="5"/>
    </row>
    <row r="9" spans="1:18" x14ac:dyDescent="0.25">
      <c r="A9" s="16"/>
      <c r="B9" s="9"/>
      <c r="C9" s="5"/>
    </row>
    <row r="10" spans="1:18" x14ac:dyDescent="0.25">
      <c r="B10" s="41"/>
      <c r="C10" s="41"/>
      <c r="D10" s="41"/>
      <c r="E10" s="41"/>
    </row>
    <row r="11" spans="1:18" x14ac:dyDescent="0.25">
      <c r="B11" s="41"/>
      <c r="C11" s="41"/>
      <c r="D11" s="41"/>
      <c r="E11" s="41"/>
    </row>
    <row r="12" spans="1:18" x14ac:dyDescent="0.25">
      <c r="B12" s="41"/>
      <c r="C12" s="41"/>
      <c r="D12" s="41"/>
      <c r="E12" s="41"/>
    </row>
    <row r="13" spans="1:18" x14ac:dyDescent="0.25">
      <c r="B13" s="41"/>
      <c r="C13" s="41"/>
      <c r="D13" s="41"/>
      <c r="E13" s="41"/>
    </row>
    <row r="14" spans="1:18" x14ac:dyDescent="0.25">
      <c r="B14" s="41"/>
      <c r="C14" s="41"/>
      <c r="D14" s="41"/>
      <c r="E14" s="41"/>
    </row>
    <row r="15" spans="1:18" x14ac:dyDescent="0.25">
      <c r="B15" s="41"/>
      <c r="C15" s="41"/>
      <c r="D15" s="41"/>
      <c r="E15" s="41"/>
    </row>
    <row r="16" spans="1:18" x14ac:dyDescent="0.25">
      <c r="B16" s="41"/>
      <c r="C16" s="41"/>
      <c r="D16" s="41"/>
      <c r="E16" s="41"/>
    </row>
    <row r="17" spans="1:18" x14ac:dyDescent="0.25">
      <c r="B17" s="41"/>
      <c r="C17" s="41"/>
      <c r="D17" s="41"/>
      <c r="E17" s="41"/>
    </row>
    <row r="18" spans="1:18" x14ac:dyDescent="0.25">
      <c r="B18" s="41"/>
      <c r="C18" s="41"/>
      <c r="D18" s="41"/>
      <c r="E18" s="41"/>
    </row>
    <row r="19" spans="1:18" x14ac:dyDescent="0.25">
      <c r="C19" s="5"/>
    </row>
    <row r="20" spans="1:18" ht="15.5" x14ac:dyDescent="0.35">
      <c r="A20" s="2" t="s">
        <v>27</v>
      </c>
      <c r="D20" s="8"/>
    </row>
    <row r="21" spans="1:18" ht="13" x14ac:dyDescent="0.25">
      <c r="A21" s="28" t="s">
        <v>5</v>
      </c>
      <c r="B21" s="29" t="s">
        <v>6</v>
      </c>
      <c r="C21" s="30" t="s">
        <v>28</v>
      </c>
      <c r="D21" s="32">
        <v>1</v>
      </c>
      <c r="E21" s="32">
        <v>2</v>
      </c>
      <c r="F21" s="32">
        <v>3</v>
      </c>
      <c r="G21" s="32">
        <v>4</v>
      </c>
      <c r="H21" s="32">
        <v>5</v>
      </c>
      <c r="I21" s="32">
        <v>6</v>
      </c>
      <c r="J21" s="32">
        <v>7</v>
      </c>
      <c r="K21" s="32">
        <v>8</v>
      </c>
      <c r="L21" s="32">
        <v>9</v>
      </c>
      <c r="M21" s="32">
        <v>10</v>
      </c>
      <c r="N21" s="32">
        <v>11</v>
      </c>
      <c r="O21" s="32">
        <v>12</v>
      </c>
      <c r="P21" s="32">
        <v>13</v>
      </c>
      <c r="Q21" s="32">
        <v>14</v>
      </c>
      <c r="R21" s="3" t="s">
        <v>29</v>
      </c>
    </row>
    <row r="22" spans="1:18" x14ac:dyDescent="0.25">
      <c r="A22" s="22">
        <v>1.1000000000000001</v>
      </c>
      <c r="B22" s="33" t="s">
        <v>52</v>
      </c>
      <c r="C22" s="4">
        <f t="shared" ref="C22:C35" si="0">SUM(D22:Q22)</f>
        <v>10</v>
      </c>
      <c r="D22" s="23"/>
      <c r="E22" s="23">
        <v>2</v>
      </c>
      <c r="F22" s="23">
        <v>4</v>
      </c>
      <c r="G22" s="23">
        <v>4</v>
      </c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3" t="s">
        <v>30</v>
      </c>
    </row>
    <row r="23" spans="1:18" x14ac:dyDescent="0.25">
      <c r="A23" s="21">
        <v>1.2</v>
      </c>
      <c r="B23" s="20" t="s">
        <v>53</v>
      </c>
      <c r="C23" s="4">
        <f t="shared" si="0"/>
        <v>4</v>
      </c>
      <c r="D23" s="20"/>
      <c r="E23" s="20"/>
      <c r="F23" s="20"/>
      <c r="G23" s="20"/>
      <c r="H23" s="20">
        <v>4</v>
      </c>
      <c r="I23" s="20"/>
      <c r="J23" s="20"/>
      <c r="K23" s="20"/>
      <c r="L23" s="20"/>
      <c r="M23" s="20"/>
      <c r="N23" s="20"/>
      <c r="O23" s="20"/>
      <c r="P23" s="20"/>
      <c r="Q23" s="20"/>
    </row>
    <row r="24" spans="1:18" x14ac:dyDescent="0.25">
      <c r="A24" s="21">
        <v>2.1</v>
      </c>
      <c r="B24" s="20" t="s">
        <v>54</v>
      </c>
      <c r="C24" s="4">
        <f t="shared" si="0"/>
        <v>30</v>
      </c>
      <c r="D24" s="20"/>
      <c r="E24" s="20"/>
      <c r="F24" s="20"/>
      <c r="G24" s="20"/>
      <c r="H24" s="20"/>
      <c r="I24" s="20"/>
      <c r="J24" s="20"/>
      <c r="K24" s="20"/>
      <c r="L24" s="20"/>
      <c r="M24" s="20">
        <v>30</v>
      </c>
      <c r="N24" s="20"/>
      <c r="O24" s="20"/>
      <c r="P24" s="20"/>
      <c r="Q24" s="20"/>
    </row>
    <row r="25" spans="1:18" x14ac:dyDescent="0.25">
      <c r="A25" s="21">
        <v>2.2000000000000002</v>
      </c>
      <c r="B25" s="20" t="s">
        <v>55</v>
      </c>
      <c r="C25" s="4">
        <f t="shared" si="0"/>
        <v>10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>
        <v>10</v>
      </c>
      <c r="O25" s="20"/>
      <c r="P25" s="20"/>
      <c r="Q25" s="20"/>
    </row>
    <row r="26" spans="1:18" x14ac:dyDescent="0.25">
      <c r="A26" s="21">
        <v>2.2999999999999998</v>
      </c>
      <c r="B26" s="20" t="s">
        <v>53</v>
      </c>
      <c r="C26" s="4">
        <f t="shared" si="0"/>
        <v>4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>
        <v>4</v>
      </c>
      <c r="P26" s="20"/>
      <c r="Q26" s="20"/>
    </row>
    <row r="27" spans="1:18" x14ac:dyDescent="0.25">
      <c r="A27" s="21">
        <v>2.4</v>
      </c>
      <c r="B27" s="20" t="s">
        <v>56</v>
      </c>
      <c r="C27" s="4">
        <f t="shared" si="0"/>
        <v>8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>
        <v>8</v>
      </c>
      <c r="P27" s="20"/>
      <c r="Q27" s="20"/>
    </row>
    <row r="28" spans="1:18" x14ac:dyDescent="0.25">
      <c r="A28" s="21">
        <v>3.1</v>
      </c>
      <c r="B28" s="20" t="s">
        <v>57</v>
      </c>
      <c r="C28" s="4">
        <f t="shared" si="0"/>
        <v>20</v>
      </c>
      <c r="D28" s="20"/>
      <c r="E28" s="20">
        <v>20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</row>
    <row r="29" spans="1:18" x14ac:dyDescent="0.25">
      <c r="A29" s="21">
        <v>3.2</v>
      </c>
      <c r="B29" s="20" t="s">
        <v>58</v>
      </c>
      <c r="C29" s="4">
        <f t="shared" si="0"/>
        <v>20</v>
      </c>
      <c r="D29" s="20"/>
      <c r="E29" s="20">
        <v>20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8" x14ac:dyDescent="0.25">
      <c r="A30" s="21">
        <v>3.3</v>
      </c>
      <c r="B30" s="20" t="s">
        <v>59</v>
      </c>
      <c r="C30" s="4">
        <f t="shared" si="0"/>
        <v>8</v>
      </c>
      <c r="D30" s="20"/>
      <c r="E30" s="20"/>
      <c r="F30" s="20">
        <v>8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18" x14ac:dyDescent="0.25">
      <c r="A31" s="21">
        <v>4.0999999999999996</v>
      </c>
      <c r="B31" s="20" t="s">
        <v>60</v>
      </c>
      <c r="C31" s="4">
        <f t="shared" si="0"/>
        <v>20</v>
      </c>
      <c r="D31" s="20"/>
      <c r="E31" s="36"/>
      <c r="F31" s="20"/>
      <c r="G31" s="20">
        <v>8</v>
      </c>
      <c r="H31" s="20">
        <v>4</v>
      </c>
      <c r="I31" s="20">
        <v>8</v>
      </c>
      <c r="J31" s="20"/>
      <c r="K31" s="20"/>
      <c r="L31" s="20"/>
      <c r="M31" s="20"/>
      <c r="N31" s="20"/>
      <c r="O31" s="20"/>
      <c r="P31" s="20"/>
      <c r="Q31" s="20"/>
    </row>
    <row r="32" spans="1:18" x14ac:dyDescent="0.25">
      <c r="A32" s="21">
        <v>4.2</v>
      </c>
      <c r="B32" s="20" t="s">
        <v>61</v>
      </c>
      <c r="C32" s="4">
        <f t="shared" si="0"/>
        <v>32</v>
      </c>
      <c r="D32" s="20"/>
      <c r="E32" s="20"/>
      <c r="F32" s="20"/>
      <c r="G32" s="20"/>
      <c r="H32" s="20">
        <v>16</v>
      </c>
      <c r="I32" s="20">
        <v>16</v>
      </c>
      <c r="J32" s="20"/>
      <c r="K32" s="20"/>
      <c r="L32" s="20"/>
      <c r="M32" s="20"/>
      <c r="N32" s="20"/>
      <c r="O32" s="20"/>
      <c r="P32" s="20"/>
      <c r="Q32" s="20"/>
    </row>
    <row r="33" spans="1:17" x14ac:dyDescent="0.25">
      <c r="A33" s="21">
        <v>4.3</v>
      </c>
      <c r="B33" s="20" t="s">
        <v>62</v>
      </c>
      <c r="C33" s="4">
        <f t="shared" si="0"/>
        <v>4</v>
      </c>
      <c r="D33" s="20"/>
      <c r="E33" s="20"/>
      <c r="F33" s="20"/>
      <c r="G33" s="20"/>
      <c r="H33" s="20"/>
      <c r="I33" s="20">
        <v>4</v>
      </c>
      <c r="J33" s="20"/>
      <c r="K33" s="20"/>
      <c r="L33" s="20"/>
      <c r="M33" s="20"/>
      <c r="N33" s="20"/>
      <c r="O33" s="20"/>
      <c r="P33" s="20"/>
      <c r="Q33" s="20"/>
    </row>
    <row r="34" spans="1:17" x14ac:dyDescent="0.25">
      <c r="A34" s="21">
        <v>4.4000000000000004</v>
      </c>
      <c r="B34" s="20" t="s">
        <v>63</v>
      </c>
      <c r="C34" s="4">
        <f t="shared" si="0"/>
        <v>56</v>
      </c>
      <c r="D34" s="20"/>
      <c r="E34" s="20"/>
      <c r="F34" s="20"/>
      <c r="G34" s="20"/>
      <c r="H34" s="20"/>
      <c r="I34" s="20">
        <v>56</v>
      </c>
      <c r="J34" s="20"/>
      <c r="K34" s="20"/>
      <c r="L34" s="20"/>
      <c r="M34" s="20"/>
      <c r="N34" s="20"/>
      <c r="O34" s="20"/>
      <c r="P34" s="20"/>
      <c r="Q34" s="20"/>
    </row>
    <row r="35" spans="1:17" x14ac:dyDescent="0.25">
      <c r="A35" s="21">
        <v>5.0999999999999996</v>
      </c>
      <c r="B35" s="20" t="s">
        <v>64</v>
      </c>
      <c r="C35" s="4">
        <f t="shared" si="0"/>
        <v>28</v>
      </c>
      <c r="D35" s="20"/>
      <c r="E35" s="20">
        <v>4</v>
      </c>
      <c r="F35" s="20">
        <v>4</v>
      </c>
      <c r="G35" s="20">
        <v>8</v>
      </c>
      <c r="H35" s="20">
        <v>4</v>
      </c>
      <c r="I35" s="20"/>
      <c r="J35" s="20"/>
      <c r="K35" s="20"/>
      <c r="L35" s="20"/>
      <c r="M35" s="20"/>
      <c r="N35" s="20"/>
      <c r="O35" s="20"/>
      <c r="P35" s="20"/>
      <c r="Q35" s="20">
        <v>8</v>
      </c>
    </row>
    <row r="36" spans="1:17" x14ac:dyDescent="0.25">
      <c r="A36" s="21">
        <v>5.2</v>
      </c>
      <c r="B36" s="20" t="s">
        <v>65</v>
      </c>
      <c r="C36" s="4">
        <f t="shared" ref="C36:C47" si="1">SUM(D36:Q36)</f>
        <v>80</v>
      </c>
      <c r="D36" s="20"/>
      <c r="E36" s="20"/>
      <c r="F36" s="20"/>
      <c r="G36" s="20"/>
      <c r="H36" s="20"/>
      <c r="I36" s="20">
        <v>8</v>
      </c>
      <c r="J36" s="20">
        <v>8</v>
      </c>
      <c r="K36" s="20">
        <v>32</v>
      </c>
      <c r="L36" s="20">
        <v>32</v>
      </c>
      <c r="M36" s="20"/>
      <c r="N36" s="20"/>
      <c r="O36" s="20"/>
      <c r="P36" s="20"/>
      <c r="Q36" s="20"/>
    </row>
    <row r="37" spans="1:17" x14ac:dyDescent="0.25">
      <c r="A37" s="21">
        <v>5.3</v>
      </c>
      <c r="B37" s="20" t="s">
        <v>66</v>
      </c>
      <c r="C37" s="4">
        <f t="shared" si="1"/>
        <v>32</v>
      </c>
      <c r="D37" s="20"/>
      <c r="E37" s="20"/>
      <c r="F37" s="20"/>
      <c r="G37" s="20"/>
      <c r="H37" s="20"/>
      <c r="I37" s="20"/>
      <c r="J37" s="20"/>
      <c r="K37" s="20"/>
      <c r="L37" s="20"/>
      <c r="M37" s="20">
        <v>4</v>
      </c>
      <c r="N37" s="20">
        <v>4</v>
      </c>
      <c r="O37" s="20">
        <v>4</v>
      </c>
      <c r="P37" s="20">
        <v>4</v>
      </c>
      <c r="Q37" s="20">
        <v>16</v>
      </c>
    </row>
    <row r="38" spans="1:17" x14ac:dyDescent="0.25">
      <c r="A38" s="21">
        <v>6.1</v>
      </c>
      <c r="B38" s="20" t="s">
        <v>79</v>
      </c>
      <c r="C38" s="4">
        <f t="shared" si="1"/>
        <v>8</v>
      </c>
      <c r="D38" s="20"/>
      <c r="E38" s="20"/>
      <c r="F38" s="20"/>
      <c r="G38" s="20"/>
      <c r="H38" s="20"/>
      <c r="I38" s="20"/>
      <c r="J38" s="20"/>
      <c r="K38" s="20">
        <v>8</v>
      </c>
      <c r="L38" s="20"/>
      <c r="M38" s="20"/>
      <c r="N38" s="20"/>
      <c r="O38" s="20"/>
      <c r="P38" s="20"/>
      <c r="Q38" s="20"/>
    </row>
    <row r="39" spans="1:17" x14ac:dyDescent="0.25">
      <c r="A39" s="21">
        <v>6.2</v>
      </c>
      <c r="B39" s="20" t="s">
        <v>67</v>
      </c>
      <c r="C39" s="4">
        <f t="shared" si="1"/>
        <v>80</v>
      </c>
      <c r="D39" s="20"/>
      <c r="E39" s="20"/>
      <c r="F39" s="20"/>
      <c r="G39" s="20"/>
      <c r="H39" s="20"/>
      <c r="I39" s="20"/>
      <c r="J39" s="20"/>
      <c r="K39" s="20"/>
      <c r="L39" s="20"/>
      <c r="M39" s="20">
        <v>40</v>
      </c>
      <c r="N39" s="20">
        <v>40</v>
      </c>
      <c r="O39" s="20"/>
      <c r="P39" s="20"/>
      <c r="Q39" s="20"/>
    </row>
    <row r="40" spans="1:17" x14ac:dyDescent="0.25">
      <c r="A40" s="21">
        <v>6.3</v>
      </c>
      <c r="B40" s="20" t="s">
        <v>68</v>
      </c>
      <c r="C40" s="4">
        <f t="shared" si="1"/>
        <v>120</v>
      </c>
      <c r="D40" s="20"/>
      <c r="E40" s="20"/>
      <c r="F40" s="20"/>
      <c r="G40" s="20"/>
      <c r="H40" s="20"/>
      <c r="I40" s="20"/>
      <c r="J40" s="20"/>
      <c r="K40" s="20"/>
      <c r="L40" s="20"/>
      <c r="M40" s="20">
        <v>40</v>
      </c>
      <c r="N40" s="20">
        <v>40</v>
      </c>
      <c r="O40" s="20">
        <v>16</v>
      </c>
      <c r="P40" s="20">
        <v>16</v>
      </c>
      <c r="Q40" s="20">
        <v>8</v>
      </c>
    </row>
    <row r="41" spans="1:17" x14ac:dyDescent="0.25">
      <c r="A41" s="21">
        <v>6.4</v>
      </c>
      <c r="B41" s="20" t="s">
        <v>69</v>
      </c>
      <c r="C41" s="4">
        <f t="shared" si="1"/>
        <v>4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>
        <v>4</v>
      </c>
      <c r="Q41" s="20"/>
    </row>
    <row r="42" spans="1:17" x14ac:dyDescent="0.25">
      <c r="A42" s="21">
        <v>7.1</v>
      </c>
      <c r="B42" s="20" t="s">
        <v>78</v>
      </c>
      <c r="C42" s="4">
        <f>SUM(D42:Q42)</f>
        <v>8</v>
      </c>
      <c r="D42" s="20"/>
      <c r="E42" s="20">
        <v>8</v>
      </c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</row>
    <row r="43" spans="1:17" x14ac:dyDescent="0.25">
      <c r="A43" s="21">
        <v>7.2</v>
      </c>
      <c r="B43" s="20" t="s">
        <v>70</v>
      </c>
      <c r="C43" s="4">
        <f t="shared" si="1"/>
        <v>16</v>
      </c>
      <c r="D43" s="20"/>
      <c r="E43" s="20">
        <v>8</v>
      </c>
      <c r="F43" s="20">
        <v>8</v>
      </c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</row>
    <row r="44" spans="1:17" x14ac:dyDescent="0.25">
      <c r="A44" s="21">
        <v>7.3</v>
      </c>
      <c r="B44" s="20" t="s">
        <v>71</v>
      </c>
      <c r="C44" s="4">
        <f t="shared" si="1"/>
        <v>100</v>
      </c>
      <c r="D44" s="20"/>
      <c r="E44" s="20"/>
      <c r="F44" s="20">
        <v>16</v>
      </c>
      <c r="G44" s="20"/>
      <c r="H44" s="20">
        <v>4</v>
      </c>
      <c r="I44" s="20">
        <v>32</v>
      </c>
      <c r="J44" s="20"/>
      <c r="K44" s="20"/>
      <c r="L44" s="20"/>
      <c r="M44" s="20"/>
      <c r="N44" s="20"/>
      <c r="O44" s="20"/>
      <c r="P44" s="20">
        <v>32</v>
      </c>
      <c r="Q44" s="20">
        <v>16</v>
      </c>
    </row>
    <row r="45" spans="1:17" x14ac:dyDescent="0.25">
      <c r="A45" s="21">
        <v>7.4</v>
      </c>
      <c r="B45" s="20" t="s">
        <v>72</v>
      </c>
      <c r="C45" s="4">
        <f t="shared" si="1"/>
        <v>18</v>
      </c>
      <c r="D45" s="20"/>
      <c r="E45" s="20"/>
      <c r="F45" s="20">
        <v>8</v>
      </c>
      <c r="G45" s="20"/>
      <c r="H45" s="20"/>
      <c r="I45" s="20"/>
      <c r="J45" s="20"/>
      <c r="K45" s="20"/>
      <c r="L45" s="20"/>
      <c r="M45" s="20"/>
      <c r="N45" s="20"/>
      <c r="O45" s="20"/>
      <c r="P45" s="20">
        <v>10</v>
      </c>
      <c r="Q45" s="20"/>
    </row>
    <row r="46" spans="1:17" x14ac:dyDescent="0.25">
      <c r="A46" s="21">
        <v>7.5</v>
      </c>
      <c r="B46" s="20" t="s">
        <v>73</v>
      </c>
      <c r="C46" s="4">
        <f t="shared" si="1"/>
        <v>58</v>
      </c>
      <c r="D46" s="20"/>
      <c r="E46" s="20"/>
      <c r="F46" s="20"/>
      <c r="G46" s="20"/>
      <c r="H46" s="20"/>
      <c r="I46" s="20"/>
      <c r="J46" s="20"/>
      <c r="K46" s="20"/>
      <c r="L46" s="20"/>
      <c r="M46" s="20">
        <v>2</v>
      </c>
      <c r="N46" s="20">
        <v>40</v>
      </c>
      <c r="O46" s="20"/>
      <c r="P46" s="20">
        <v>16</v>
      </c>
      <c r="Q46" s="20"/>
    </row>
    <row r="47" spans="1:17" x14ac:dyDescent="0.25">
      <c r="A47" s="6">
        <v>8.1</v>
      </c>
      <c r="B47" s="35" t="s">
        <v>77</v>
      </c>
      <c r="C47" s="4">
        <f t="shared" si="1"/>
        <v>40</v>
      </c>
      <c r="D47" s="20">
        <v>40</v>
      </c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</row>
    <row r="48" spans="1:17" x14ac:dyDescent="0.25">
      <c r="A48" s="6">
        <v>9.1</v>
      </c>
      <c r="B48" s="35" t="s">
        <v>80</v>
      </c>
      <c r="C48" s="4">
        <f t="shared" ref="C48" si="2">SUM(D48:Q48)</f>
        <v>212</v>
      </c>
      <c r="D48" s="20"/>
      <c r="E48" s="20">
        <v>16</v>
      </c>
      <c r="F48" s="20">
        <v>32</v>
      </c>
      <c r="G48" s="20">
        <v>16</v>
      </c>
      <c r="H48" s="20">
        <v>8</v>
      </c>
      <c r="I48" s="20">
        <v>12</v>
      </c>
      <c r="J48" s="20">
        <v>8</v>
      </c>
      <c r="K48" s="20">
        <v>32</v>
      </c>
      <c r="L48" s="20">
        <v>8</v>
      </c>
      <c r="M48" s="20">
        <v>8</v>
      </c>
      <c r="N48" s="20">
        <v>8</v>
      </c>
      <c r="O48" s="20">
        <v>8</v>
      </c>
      <c r="P48" s="20">
        <v>8</v>
      </c>
      <c r="Q48" s="20">
        <v>48</v>
      </c>
    </row>
    <row r="49" spans="1:18" x14ac:dyDescent="0.25">
      <c r="A49" s="6">
        <v>10.1</v>
      </c>
      <c r="B49" s="35" t="s">
        <v>82</v>
      </c>
      <c r="C49" s="4">
        <f t="shared" ref="C49" si="3">SUM(D49:Q49)</f>
        <v>8</v>
      </c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>
        <v>8</v>
      </c>
    </row>
    <row r="50" spans="1:18" x14ac:dyDescent="0.25">
      <c r="A50" s="6">
        <v>11.1</v>
      </c>
      <c r="B50" s="35" t="s">
        <v>81</v>
      </c>
      <c r="C50" s="4">
        <f t="shared" ref="C50" si="4">SUM(D50:Q50)</f>
        <v>32</v>
      </c>
      <c r="D50" s="20"/>
      <c r="E50" s="20"/>
      <c r="F50" s="20"/>
      <c r="G50" s="20"/>
      <c r="H50" s="20"/>
      <c r="I50" s="20">
        <v>12</v>
      </c>
      <c r="J50" s="20">
        <v>10</v>
      </c>
      <c r="K50" s="20"/>
      <c r="L50" s="20"/>
      <c r="M50" s="20"/>
      <c r="N50" s="20"/>
      <c r="O50" s="20"/>
      <c r="P50" s="20">
        <v>10</v>
      </c>
      <c r="Q50" s="20"/>
    </row>
    <row r="51" spans="1:18" x14ac:dyDescent="0.25">
      <c r="A51" s="11" t="s">
        <v>20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3" t="s">
        <v>31</v>
      </c>
    </row>
    <row r="52" spans="1:18" ht="13" x14ac:dyDescent="0.3">
      <c r="B52" s="7" t="s">
        <v>32</v>
      </c>
      <c r="C52" s="18">
        <f t="shared" ref="C52:Q52" si="5">SUM(C22:C51)</f>
        <v>1070</v>
      </c>
      <c r="D52" s="19">
        <f t="shared" si="5"/>
        <v>40</v>
      </c>
      <c r="E52" s="19">
        <f t="shared" si="5"/>
        <v>78</v>
      </c>
      <c r="F52" s="19">
        <f t="shared" si="5"/>
        <v>80</v>
      </c>
      <c r="G52" s="19">
        <f t="shared" si="5"/>
        <v>36</v>
      </c>
      <c r="H52" s="19">
        <f t="shared" si="5"/>
        <v>40</v>
      </c>
      <c r="I52" s="19">
        <f t="shared" si="5"/>
        <v>148</v>
      </c>
      <c r="J52" s="19">
        <f t="shared" si="5"/>
        <v>26</v>
      </c>
      <c r="K52" s="19">
        <f t="shared" si="5"/>
        <v>72</v>
      </c>
      <c r="L52" s="19">
        <f t="shared" si="5"/>
        <v>40</v>
      </c>
      <c r="M52" s="19">
        <f t="shared" si="5"/>
        <v>124</v>
      </c>
      <c r="N52" s="19">
        <f t="shared" si="5"/>
        <v>142</v>
      </c>
      <c r="O52" s="19">
        <f t="shared" si="5"/>
        <v>40</v>
      </c>
      <c r="P52" s="19">
        <f t="shared" si="5"/>
        <v>100</v>
      </c>
      <c r="Q52" s="19">
        <f t="shared" si="5"/>
        <v>104</v>
      </c>
    </row>
    <row r="53" spans="1:18" ht="13" x14ac:dyDescent="0.3">
      <c r="B53" s="7"/>
      <c r="C53" s="10" t="s">
        <v>33</v>
      </c>
      <c r="D53">
        <f>IF(ISBLANK(D21),NA(),SUM($D52:D52))</f>
        <v>40</v>
      </c>
      <c r="E53">
        <f>IF(ISBLANK(E21),NA(),SUM($D52:E52))</f>
        <v>118</v>
      </c>
      <c r="F53">
        <f>IF(ISBLANK(F21),NA(),SUM($D52:F52))</f>
        <v>198</v>
      </c>
      <c r="G53">
        <f>IF(ISBLANK(G21),NA(),SUM($D52:G52))</f>
        <v>234</v>
      </c>
      <c r="H53">
        <f>IF(ISBLANK(H21),NA(),SUM($D52:H52))</f>
        <v>274</v>
      </c>
      <c r="I53">
        <f>IF(ISBLANK(I21),NA(),SUM($D52:I52))</f>
        <v>422</v>
      </c>
      <c r="J53">
        <f>IF(ISBLANK(J21),NA(),SUM($D52:J52))</f>
        <v>448</v>
      </c>
      <c r="K53">
        <f>IF(ISBLANK(K21),NA(),SUM($D52:K52))</f>
        <v>520</v>
      </c>
      <c r="L53">
        <f>IF(ISBLANK(L21),NA(),SUM($D52:L52))</f>
        <v>560</v>
      </c>
      <c r="M53">
        <f>IF(ISBLANK(M21),NA(),SUM($D52:M52))</f>
        <v>684</v>
      </c>
      <c r="N53">
        <f>IF(ISBLANK(N21),NA(),SUM($D52:N52))</f>
        <v>826</v>
      </c>
      <c r="O53">
        <f>IF(ISBLANK(O21),NA(),SUM($D52:O52))</f>
        <v>866</v>
      </c>
      <c r="P53">
        <f>IF(ISBLANK(P21),NA(),SUM($D52:P52))</f>
        <v>966</v>
      </c>
      <c r="Q53">
        <f>IF(ISBLANK(Q21),NA(),SUM($D52:Q52))</f>
        <v>1070</v>
      </c>
    </row>
    <row r="55" spans="1:18" ht="15.5" x14ac:dyDescent="0.35">
      <c r="A55" s="2" t="s">
        <v>34</v>
      </c>
    </row>
    <row r="56" spans="1:18" x14ac:dyDescent="0.25">
      <c r="C56" s="10" t="s">
        <v>35</v>
      </c>
      <c r="D56" s="20">
        <f>AC!D41</f>
        <v>45</v>
      </c>
      <c r="E56" s="20">
        <f>AC!E41</f>
        <v>125</v>
      </c>
      <c r="F56" s="20">
        <f>AC!F41</f>
        <v>205</v>
      </c>
      <c r="G56" s="20">
        <f>AC!G41</f>
        <v>245</v>
      </c>
      <c r="H56" s="20">
        <f>AC!H41</f>
        <v>293</v>
      </c>
      <c r="I56" s="20">
        <f>AC!I41</f>
        <v>425</v>
      </c>
      <c r="J56" s="20">
        <f>AC!J41</f>
        <v>467</v>
      </c>
      <c r="K56" s="20">
        <f>AC!K41</f>
        <v>535</v>
      </c>
      <c r="L56" s="20">
        <f>AC!L41</f>
        <v>577</v>
      </c>
      <c r="M56" s="20">
        <f>AC!M41</f>
        <v>695</v>
      </c>
      <c r="N56" s="20">
        <f>AC!N41</f>
        <v>837</v>
      </c>
      <c r="O56" s="20">
        <f>AC!O41</f>
        <v>869</v>
      </c>
      <c r="P56" s="20">
        <f>AC!P41</f>
        <v>951</v>
      </c>
      <c r="Q56" s="20">
        <f>AC!Q41</f>
        <v>1055</v>
      </c>
      <c r="R56" s="3" t="s">
        <v>36</v>
      </c>
    </row>
    <row r="57" spans="1:18" x14ac:dyDescent="0.25">
      <c r="C57" s="10" t="s">
        <v>4</v>
      </c>
      <c r="D57" s="20">
        <f>EV!D39</f>
        <v>52.72</v>
      </c>
      <c r="E57" s="20">
        <f>EV!E39</f>
        <v>112.74000000000001</v>
      </c>
      <c r="F57" s="20">
        <f>EV!F39</f>
        <v>153.96</v>
      </c>
      <c r="G57" s="20">
        <f>EV!G39</f>
        <v>226.48</v>
      </c>
      <c r="H57" s="20">
        <f>EV!H39</f>
        <v>267.39999999999998</v>
      </c>
      <c r="I57" s="20">
        <f>EV!I39</f>
        <v>346.71999999999997</v>
      </c>
      <c r="J57" s="20">
        <f>EV!J39</f>
        <v>433.43999999999994</v>
      </c>
      <c r="K57" s="20">
        <f>EV!K39</f>
        <v>470.15999999999997</v>
      </c>
      <c r="L57" s="20">
        <f>EV!L39</f>
        <v>506.88</v>
      </c>
      <c r="M57" s="20">
        <f>EV!M39</f>
        <v>610.40000000000009</v>
      </c>
      <c r="N57" s="20">
        <f>EV!N39</f>
        <v>723.92000000000007</v>
      </c>
      <c r="O57" s="20">
        <f>EV!O39</f>
        <v>791.43999999999994</v>
      </c>
      <c r="P57" s="20">
        <f>EV!P39</f>
        <v>861</v>
      </c>
      <c r="Q57" s="20">
        <f>EV!Q39</f>
        <v>954.2</v>
      </c>
      <c r="R57" s="3" t="s">
        <v>37</v>
      </c>
    </row>
    <row r="59" spans="1:18" ht="15.5" x14ac:dyDescent="0.35">
      <c r="A59" s="2" t="s">
        <v>38</v>
      </c>
    </row>
    <row r="60" spans="1:18" x14ac:dyDescent="0.25">
      <c r="C60" s="10" t="s">
        <v>39</v>
      </c>
      <c r="D60" s="9">
        <f>IF(AND(ISBLANK(D56),ISBLANK(D57))," - ",D57-D56)</f>
        <v>7.7199999999999989</v>
      </c>
      <c r="E60" s="9">
        <f t="shared" ref="E60:O60" si="6">IF(AND(ISBLANK(E56),ISBLANK(E57))," - ",E57-E56)</f>
        <v>-12.259999999999991</v>
      </c>
      <c r="F60" s="9">
        <f t="shared" si="6"/>
        <v>-51.039999999999992</v>
      </c>
      <c r="G60" s="9">
        <f t="shared" si="6"/>
        <v>-18.52000000000001</v>
      </c>
      <c r="H60" s="9">
        <f t="shared" si="6"/>
        <v>-25.600000000000023</v>
      </c>
      <c r="I60" s="9">
        <f t="shared" si="6"/>
        <v>-78.28000000000003</v>
      </c>
      <c r="J60" s="9">
        <f t="shared" si="6"/>
        <v>-33.560000000000059</v>
      </c>
      <c r="K60" s="9">
        <f t="shared" si="6"/>
        <v>-64.840000000000032</v>
      </c>
      <c r="L60" s="9">
        <f t="shared" si="6"/>
        <v>-70.12</v>
      </c>
      <c r="M60" s="9">
        <f t="shared" si="6"/>
        <v>-84.599999999999909</v>
      </c>
      <c r="N60" s="9">
        <f t="shared" si="6"/>
        <v>-113.07999999999993</v>
      </c>
      <c r="O60" s="9">
        <f t="shared" si="6"/>
        <v>-77.560000000000059</v>
      </c>
      <c r="P60" s="9">
        <f t="shared" ref="P60:Q60" si="7">IF(AND(ISBLANK(P56),ISBLANK(P57))," - ",P57-P56)</f>
        <v>-90</v>
      </c>
      <c r="Q60" s="9">
        <f t="shared" si="7"/>
        <v>-100.79999999999995</v>
      </c>
    </row>
    <row r="61" spans="1:18" x14ac:dyDescent="0.25">
      <c r="C61" s="10" t="s">
        <v>40</v>
      </c>
      <c r="D61" s="9">
        <f>IF(AND(ISBLANK(D56),ISBLANK(D57))," - ",D57-D53)</f>
        <v>12.719999999999999</v>
      </c>
      <c r="E61" s="9">
        <f t="shared" ref="E61:O61" si="8">IF(AND(ISBLANK(E56),ISBLANK(E57))," - ",E57-E53)</f>
        <v>-5.2599999999999909</v>
      </c>
      <c r="F61" s="9">
        <f t="shared" si="8"/>
        <v>-44.039999999999992</v>
      </c>
      <c r="G61" s="9">
        <f t="shared" si="8"/>
        <v>-7.5200000000000102</v>
      </c>
      <c r="H61" s="9">
        <f t="shared" si="8"/>
        <v>-6.6000000000000227</v>
      </c>
      <c r="I61" s="9">
        <f t="shared" si="8"/>
        <v>-75.28000000000003</v>
      </c>
      <c r="J61" s="9">
        <f t="shared" si="8"/>
        <v>-14.560000000000059</v>
      </c>
      <c r="K61" s="9">
        <f t="shared" si="8"/>
        <v>-49.840000000000032</v>
      </c>
      <c r="L61" s="9">
        <f t="shared" si="8"/>
        <v>-53.120000000000005</v>
      </c>
      <c r="M61" s="9">
        <f t="shared" si="8"/>
        <v>-73.599999999999909</v>
      </c>
      <c r="N61" s="9">
        <f t="shared" si="8"/>
        <v>-102.07999999999993</v>
      </c>
      <c r="O61" s="9">
        <f t="shared" si="8"/>
        <v>-74.560000000000059</v>
      </c>
      <c r="P61" s="9">
        <f t="shared" ref="P61:Q61" si="9">IF(AND(ISBLANK(P56),ISBLANK(P57))," - ",P57-P53)</f>
        <v>-105</v>
      </c>
      <c r="Q61" s="9">
        <f t="shared" si="9"/>
        <v>-115.79999999999995</v>
      </c>
    </row>
    <row r="62" spans="1:18" x14ac:dyDescent="0.25">
      <c r="C62" s="10" t="s">
        <v>41</v>
      </c>
      <c r="D62" s="26">
        <f>IF(AND(ISBLANK(D56),ISBLANK(D57))," - ",D57/D56)</f>
        <v>1.1715555555555555</v>
      </c>
      <c r="E62" s="26">
        <f t="shared" ref="E62:O62" si="10">IF(AND(ISBLANK(E56),ISBLANK(E57))," - ",E57/E56)</f>
        <v>0.90192000000000005</v>
      </c>
      <c r="F62" s="26">
        <f t="shared" si="10"/>
        <v>0.75102439024390244</v>
      </c>
      <c r="G62" s="26">
        <f t="shared" si="10"/>
        <v>0.92440816326530606</v>
      </c>
      <c r="H62" s="26">
        <f t="shared" si="10"/>
        <v>0.91262798634812281</v>
      </c>
      <c r="I62" s="26">
        <f t="shared" si="10"/>
        <v>0.81581176470588224</v>
      </c>
      <c r="J62" s="26">
        <f t="shared" si="10"/>
        <v>0.92813704496787997</v>
      </c>
      <c r="K62" s="26">
        <f t="shared" si="10"/>
        <v>0.87880373831775693</v>
      </c>
      <c r="L62" s="26">
        <f t="shared" si="10"/>
        <v>0.87847487001733104</v>
      </c>
      <c r="M62" s="26">
        <f t="shared" si="10"/>
        <v>0.87827338129496413</v>
      </c>
      <c r="N62" s="26">
        <f t="shared" si="10"/>
        <v>0.8648984468339308</v>
      </c>
      <c r="O62" s="26">
        <f t="shared" si="10"/>
        <v>0.91074798619102415</v>
      </c>
      <c r="P62" s="26">
        <f t="shared" ref="P62:Q62" si="11">IF(AND(ISBLANK(P56),ISBLANK(P57))," - ",P57/P56)</f>
        <v>0.90536277602523663</v>
      </c>
      <c r="Q62" s="26">
        <f t="shared" si="11"/>
        <v>0.90445497630331761</v>
      </c>
    </row>
    <row r="63" spans="1:18" x14ac:dyDescent="0.25">
      <c r="C63" s="10" t="s">
        <v>42</v>
      </c>
      <c r="D63" s="26">
        <f>IF(AND(ISBLANK(D56),ISBLANK(D57))," - ",D57/D53)</f>
        <v>1.3180000000000001</v>
      </c>
      <c r="E63" s="26">
        <f t="shared" ref="E63:O63" si="12">IF(AND(ISBLANK(E56),ISBLANK(E57))," - ",E57/E53)</f>
        <v>0.95542372881355941</v>
      </c>
      <c r="F63" s="26">
        <f t="shared" si="12"/>
        <v>0.77757575757575759</v>
      </c>
      <c r="G63" s="26">
        <f t="shared" si="12"/>
        <v>0.96786324786324784</v>
      </c>
      <c r="H63" s="26">
        <f t="shared" si="12"/>
        <v>0.97591240875912399</v>
      </c>
      <c r="I63" s="26">
        <f t="shared" si="12"/>
        <v>0.82161137440758292</v>
      </c>
      <c r="J63" s="26">
        <f t="shared" si="12"/>
        <v>0.96749999999999992</v>
      </c>
      <c r="K63" s="26">
        <f t="shared" si="12"/>
        <v>0.90415384615384609</v>
      </c>
      <c r="L63" s="26">
        <f t="shared" si="12"/>
        <v>0.90514285714285714</v>
      </c>
      <c r="M63" s="26">
        <f t="shared" si="12"/>
        <v>0.89239766081871363</v>
      </c>
      <c r="N63" s="26">
        <f t="shared" si="12"/>
        <v>0.8764164648910413</v>
      </c>
      <c r="O63" s="26">
        <f t="shared" si="12"/>
        <v>0.91390300230946875</v>
      </c>
      <c r="P63" s="26">
        <f t="shared" ref="P63:Q63" si="13">IF(AND(ISBLANK(P56),ISBLANK(P57))," - ",P57/P53)</f>
        <v>0.89130434782608692</v>
      </c>
      <c r="Q63" s="26">
        <f t="shared" si="13"/>
        <v>0.89177570093457947</v>
      </c>
    </row>
    <row r="64" spans="1:18" x14ac:dyDescent="0.25">
      <c r="C64" s="10" t="s">
        <v>43</v>
      </c>
      <c r="D64" s="27">
        <f>IF(AND(ISBLANK(D56),ISBLANK(D57))," - ",$C$52/D62)</f>
        <v>913.31562974203348</v>
      </c>
      <c r="E64" s="27">
        <f t="shared" ref="E64:O64" si="14">IF(AND(ISBLANK(E56),ISBLANK(E57))," - ",$C$52/E62)</f>
        <v>1186.357991839631</v>
      </c>
      <c r="F64" s="27">
        <f t="shared" si="14"/>
        <v>1424.7207066770591</v>
      </c>
      <c r="G64" s="27">
        <f t="shared" si="14"/>
        <v>1157.4973507594491</v>
      </c>
      <c r="H64" s="27">
        <f t="shared" si="14"/>
        <v>1172.4382946896037</v>
      </c>
      <c r="I64" s="27">
        <f t="shared" si="14"/>
        <v>1311.5770650669131</v>
      </c>
      <c r="J64" s="27">
        <f t="shared" si="14"/>
        <v>1152.8469915097824</v>
      </c>
      <c r="K64" s="27">
        <f t="shared" si="14"/>
        <v>1217.5642334524418</v>
      </c>
      <c r="L64" s="27">
        <f t="shared" si="14"/>
        <v>1218.0200441919192</v>
      </c>
      <c r="M64" s="27">
        <f t="shared" si="14"/>
        <v>1218.2994757536042</v>
      </c>
      <c r="N64" s="27">
        <f t="shared" si="14"/>
        <v>1237.1394629240799</v>
      </c>
      <c r="O64" s="27">
        <f t="shared" si="14"/>
        <v>1174.8584857980391</v>
      </c>
      <c r="P64" s="27">
        <f t="shared" ref="P64:Q64" si="15">IF(AND(ISBLANK(P56),ISBLANK(P57))," - ",$C$52/P62)</f>
        <v>1181.8466898954703</v>
      </c>
      <c r="Q64" s="27">
        <f t="shared" si="15"/>
        <v>1183.0329071473484</v>
      </c>
    </row>
  </sheetData>
  <mergeCells count="3">
    <mergeCell ref="C5:D5"/>
    <mergeCell ref="C7:D7"/>
    <mergeCell ref="B10:E18"/>
  </mergeCells>
  <phoneticPr fontId="5" type="noConversion"/>
  <conditionalFormatting sqref="D62:Q63">
    <cfRule type="cellIs" dxfId="3" priority="1" stopIfTrue="1" operator="lessThan">
      <formula>1</formula>
    </cfRule>
    <cfRule type="cellIs" dxfId="2" priority="2" stopIfTrue="1" operator="greaterThanOrEqual">
      <formula>1</formula>
    </cfRule>
  </conditionalFormatting>
  <conditionalFormatting sqref="D60:Q61">
    <cfRule type="cellIs" dxfId="1" priority="3" stopIfTrue="1" operator="greaterThanOrEqual">
      <formula>0</formula>
    </cfRule>
    <cfRule type="cellIs" dxfId="0" priority="4" stopIfTrue="1" operator="lessThan">
      <formula>0</formula>
    </cfRule>
  </conditionalFormatting>
  <pageMargins left="0.5" right="0.5" top="0.25" bottom="0.5" header="0.5" footer="0.25"/>
  <pageSetup scale="91" orientation="landscape" r:id="rId1"/>
  <headerFooter scaleWithDoc="0">
    <oddFooter>&amp;L&amp;8&amp;K01+049https://www.vertex42.com/ExcelTemplates/earned-value-management.html&amp;R&amp;8&amp;K01+049EVM Template © 2012 Vertex42 LLC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1"/>
  <sheetViews>
    <sheetView showGridLines="0" topLeftCell="A17" workbookViewId="0">
      <selection activeCell="N12" sqref="N12"/>
    </sheetView>
  </sheetViews>
  <sheetFormatPr baseColWidth="10" defaultColWidth="9" defaultRowHeight="12.5" x14ac:dyDescent="0.25"/>
  <cols>
    <col min="1" max="1" width="6.54296875" customWidth="1"/>
    <col min="2" max="2" width="22" customWidth="1"/>
    <col min="3" max="3" width="6.453125" customWidth="1"/>
    <col min="4" max="15" width="8.7265625" customWidth="1"/>
    <col min="17" max="17" width="9.26953125" customWidth="1"/>
  </cols>
  <sheetData>
    <row r="1" spans="1:17" ht="20" x14ac:dyDescent="0.4">
      <c r="A1" s="14" t="s">
        <v>44</v>
      </c>
    </row>
    <row r="2" spans="1:17" ht="15.5" x14ac:dyDescent="0.35">
      <c r="A2" s="2"/>
    </row>
    <row r="3" spans="1:17" ht="13" x14ac:dyDescent="0.3">
      <c r="A3" s="8" t="s">
        <v>45</v>
      </c>
      <c r="Q3" s="1"/>
    </row>
    <row r="4" spans="1:17" ht="13" x14ac:dyDescent="0.3">
      <c r="A4" s="8" t="s">
        <v>46</v>
      </c>
      <c r="Q4" s="12"/>
    </row>
    <row r="5" spans="1:17" ht="13" x14ac:dyDescent="0.3">
      <c r="A5" s="8" t="s">
        <v>47</v>
      </c>
      <c r="D5" s="8"/>
    </row>
    <row r="7" spans="1:17" ht="17.5" x14ac:dyDescent="0.35">
      <c r="A7" s="2" t="s">
        <v>48</v>
      </c>
      <c r="D7" s="8"/>
      <c r="O7" s="15"/>
    </row>
    <row r="8" spans="1:17" ht="13" x14ac:dyDescent="0.25">
      <c r="A8" s="28" t="s">
        <v>5</v>
      </c>
      <c r="B8" s="29" t="s">
        <v>6</v>
      </c>
      <c r="C8" s="30"/>
      <c r="D8" s="31" t="s">
        <v>8</v>
      </c>
      <c r="E8" s="31" t="s">
        <v>9</v>
      </c>
      <c r="F8" s="31" t="s">
        <v>10</v>
      </c>
      <c r="G8" s="31" t="s">
        <v>11</v>
      </c>
      <c r="H8" s="31" t="s">
        <v>12</v>
      </c>
      <c r="I8" s="31" t="s">
        <v>13</v>
      </c>
      <c r="J8" s="31" t="s">
        <v>14</v>
      </c>
      <c r="K8" s="31" t="s">
        <v>15</v>
      </c>
      <c r="L8" s="31" t="s">
        <v>16</v>
      </c>
      <c r="M8" s="31" t="s">
        <v>17</v>
      </c>
      <c r="N8" s="31" t="s">
        <v>18</v>
      </c>
      <c r="O8" s="31" t="s">
        <v>19</v>
      </c>
      <c r="P8" s="31" t="s">
        <v>50</v>
      </c>
      <c r="Q8" s="31" t="s">
        <v>51</v>
      </c>
    </row>
    <row r="9" spans="1:17" x14ac:dyDescent="0.25">
      <c r="A9" s="6">
        <f>IF(ISBLANK(Report!A22)," - ",Report!A22)</f>
        <v>1.1000000000000001</v>
      </c>
      <c r="B9" t="str">
        <f>IF(ISBLANK(Report!B22)," - ",Report!B22)</f>
        <v>Arm prototyping &amp; printing</v>
      </c>
      <c r="D9" s="23"/>
      <c r="E9" s="23">
        <v>2</v>
      </c>
      <c r="F9" s="23">
        <v>4</v>
      </c>
      <c r="G9" s="23">
        <v>4</v>
      </c>
      <c r="H9" s="23"/>
      <c r="I9" s="23"/>
      <c r="J9" s="23"/>
      <c r="K9" s="23"/>
      <c r="L9" s="23"/>
      <c r="M9" s="23"/>
      <c r="N9" s="23"/>
      <c r="O9" s="23"/>
      <c r="P9" s="23"/>
      <c r="Q9" s="23"/>
    </row>
    <row r="10" spans="1:17" x14ac:dyDescent="0.25">
      <c r="A10" s="6">
        <f>IF(ISBLANK(Report!A23)," - ",Report!A23)</f>
        <v>1.2</v>
      </c>
      <c r="B10" t="str">
        <f>IF(ISBLANK(Report!B23)," - ",Report!B23)</f>
        <v>Assembling model</v>
      </c>
      <c r="D10" s="20"/>
      <c r="E10" s="20"/>
      <c r="F10" s="20"/>
      <c r="G10" s="20"/>
      <c r="H10" s="20">
        <v>4</v>
      </c>
      <c r="I10" s="20"/>
      <c r="J10" s="20"/>
      <c r="K10" s="20"/>
      <c r="L10" s="20"/>
      <c r="M10" s="20"/>
      <c r="N10" s="20"/>
      <c r="O10" s="20"/>
      <c r="P10" s="20"/>
      <c r="Q10" s="20"/>
    </row>
    <row r="11" spans="1:17" x14ac:dyDescent="0.25">
      <c r="A11" s="6">
        <f>IF(ISBLANK(Report!A24)," - ",Report!A24)</f>
        <v>2.1</v>
      </c>
      <c r="B11" t="str">
        <f>IF(ISBLANK(Report!B24)," - ",Report!B24)</f>
        <v>Sorter prototyping &amp; wood cutting</v>
      </c>
      <c r="D11" s="20"/>
      <c r="E11" s="20"/>
      <c r="F11" s="20"/>
      <c r="G11" s="20"/>
      <c r="H11" s="20"/>
      <c r="I11" s="20"/>
      <c r="J11" s="20"/>
      <c r="K11" s="20"/>
      <c r="L11" s="20"/>
      <c r="M11" s="20">
        <v>30</v>
      </c>
      <c r="N11" s="20"/>
      <c r="O11" s="20"/>
      <c r="P11" s="20"/>
      <c r="Q11" s="20"/>
    </row>
    <row r="12" spans="1:17" x14ac:dyDescent="0.25">
      <c r="A12" s="6">
        <f>IF(ISBLANK(Report!A25)," - ",Report!A25)</f>
        <v>2.2000000000000002</v>
      </c>
      <c r="B12" t="str">
        <f>IF(ISBLANK(Report!B25)," - ",Report!B25)</f>
        <v>Change motor (hard+soft)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>
        <v>20</v>
      </c>
      <c r="O12" s="20"/>
      <c r="P12" s="20"/>
      <c r="Q12" s="20"/>
    </row>
    <row r="13" spans="1:17" x14ac:dyDescent="0.25">
      <c r="A13" s="6">
        <f>IF(ISBLANK(Report!A26)," - ",Report!A26)</f>
        <v>2.2999999999999998</v>
      </c>
      <c r="B13" t="str">
        <f>IF(ISBLANK(Report!B26)," - ",Report!B26)</f>
        <v>Assembling model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>
        <v>4</v>
      </c>
      <c r="P13" s="20"/>
      <c r="Q13" s="20"/>
    </row>
    <row r="14" spans="1:17" x14ac:dyDescent="0.25">
      <c r="A14" s="6">
        <f>IF(ISBLANK(Report!A27)," - ",Report!A27)</f>
        <v>2.4</v>
      </c>
      <c r="B14" t="str">
        <f>IF(ISBLANK(Report!B27)," - ",Report!B27)</f>
        <v>Update code</v>
      </c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>
        <v>8</v>
      </c>
      <c r="P14" s="20"/>
      <c r="Q14" s="20"/>
    </row>
    <row r="15" spans="1:17" x14ac:dyDescent="0.25">
      <c r="A15" s="6">
        <f>IF(ISBLANK(Report!A28)," - ",Report!A28)</f>
        <v>3.1</v>
      </c>
      <c r="B15" t="str">
        <f>IF(ISBLANK(Report!B28)," - ",Report!B28)</f>
        <v>Code the Thrower</v>
      </c>
      <c r="D15" s="20"/>
      <c r="E15" s="20">
        <v>20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</row>
    <row r="16" spans="1:17" x14ac:dyDescent="0.25">
      <c r="A16" s="6">
        <f>IF(ISBLANK(Report!A29)," - ",Report!A29)</f>
        <v>3.2</v>
      </c>
      <c r="B16" t="str">
        <f>IF(ISBLANK(Report!B29)," - ",Report!B29)</f>
        <v>Electrical mounting</v>
      </c>
      <c r="D16" s="20"/>
      <c r="E16" s="20">
        <v>20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spans="1:17" x14ac:dyDescent="0.25">
      <c r="A17" s="6">
        <f>IF(ISBLANK(Report!A30)," - ",Report!A30)</f>
        <v>3.3</v>
      </c>
      <c r="B17" t="str">
        <f>IF(ISBLANK(Report!B30)," - ",Report!B30)</f>
        <v>Datasheet on PWM</v>
      </c>
      <c r="D17" s="20"/>
      <c r="E17" s="20"/>
      <c r="F17" s="20">
        <v>8</v>
      </c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</row>
    <row r="18" spans="1:17" x14ac:dyDescent="0.25">
      <c r="A18" s="6">
        <f>IF(ISBLANK(Report!A31)," - ",Report!A31)</f>
        <v>4.0999999999999996</v>
      </c>
      <c r="B18" t="str">
        <f>IF(ISBLANK(Report!B31)," - ",Report!B31)</f>
        <v>Executable &amp; Initialisation fn</v>
      </c>
      <c r="D18" s="20"/>
      <c r="E18" s="36"/>
      <c r="F18" s="20"/>
      <c r="G18" s="20">
        <v>8</v>
      </c>
      <c r="H18" s="20">
        <v>4</v>
      </c>
      <c r="I18" s="20">
        <v>8</v>
      </c>
      <c r="J18" s="20"/>
      <c r="K18" s="20"/>
      <c r="L18" s="20"/>
      <c r="M18" s="20"/>
      <c r="N18" s="20"/>
      <c r="O18" s="20"/>
      <c r="P18" s="20"/>
      <c r="Q18" s="20"/>
    </row>
    <row r="19" spans="1:17" x14ac:dyDescent="0.25">
      <c r="A19" s="6">
        <f>IF(ISBLANK(Report!A32)," - ",Report!A32)</f>
        <v>4.2</v>
      </c>
      <c r="B19" t="str">
        <f>IF(ISBLANK(Report!B32)," - ",Report!B32)</f>
        <v>Cleaning code, error cabling ...</v>
      </c>
      <c r="D19" s="20"/>
      <c r="E19" s="20"/>
      <c r="F19" s="20"/>
      <c r="G19" s="20"/>
      <c r="H19" s="20">
        <v>16</v>
      </c>
      <c r="I19" s="20">
        <v>16</v>
      </c>
      <c r="J19" s="20"/>
      <c r="K19" s="20"/>
      <c r="L19" s="20"/>
      <c r="M19" s="20"/>
      <c r="N19" s="20"/>
      <c r="O19" s="20"/>
      <c r="P19" s="20"/>
      <c r="Q19" s="20"/>
    </row>
    <row r="20" spans="1:17" x14ac:dyDescent="0.25">
      <c r="A20" s="6">
        <f>IF(ISBLANK(Report!A33)," - ",Report!A33)</f>
        <v>4.3</v>
      </c>
      <c r="B20" t="str">
        <f>IF(ISBLANK(Report!B33)," - ",Report!B33)</f>
        <v>Update all RIO cards</v>
      </c>
      <c r="D20" s="20"/>
      <c r="E20" s="20"/>
      <c r="F20" s="20"/>
      <c r="G20" s="20"/>
      <c r="H20" s="20"/>
      <c r="I20" s="20">
        <v>8</v>
      </c>
      <c r="J20" s="20"/>
      <c r="K20" s="20"/>
      <c r="L20" s="20"/>
      <c r="M20" s="20"/>
      <c r="N20" s="20"/>
      <c r="O20" s="20"/>
      <c r="P20" s="20"/>
      <c r="Q20" s="20"/>
    </row>
    <row r="21" spans="1:17" x14ac:dyDescent="0.25">
      <c r="A21" s="6">
        <f>IF(ISBLANK(Report!A34)," - ",Report!A34)</f>
        <v>4.4000000000000004</v>
      </c>
      <c r="B21" t="str">
        <f>IF(ISBLANK(Report!B34)," - ",Report!B34)</f>
        <v>Real Time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</row>
    <row r="22" spans="1:17" x14ac:dyDescent="0.25">
      <c r="A22" s="6">
        <f>IF(ISBLANK(Report!A35)," - ",Report!A35)</f>
        <v>5.0999999999999996</v>
      </c>
      <c r="B22" t="str">
        <f>IF(ISBLANK(Report!B35)," - ",Report!B35)</f>
        <v>Supply PCB prototyping</v>
      </c>
      <c r="D22" s="20"/>
      <c r="E22" s="20">
        <v>10</v>
      </c>
      <c r="F22" s="20">
        <v>12</v>
      </c>
      <c r="G22" s="20">
        <v>12</v>
      </c>
      <c r="H22" s="20">
        <v>12</v>
      </c>
      <c r="I22" s="20">
        <v>16</v>
      </c>
      <c r="J22" s="20"/>
      <c r="K22" s="20"/>
      <c r="L22" s="20"/>
      <c r="M22" s="20"/>
      <c r="N22" s="20">
        <v>16</v>
      </c>
      <c r="O22" s="20"/>
      <c r="P22" s="20"/>
      <c r="Q22" s="20">
        <v>8</v>
      </c>
    </row>
    <row r="23" spans="1:17" x14ac:dyDescent="0.25">
      <c r="A23" s="6">
        <f>IF(ISBLANK(Report!A36)," - ",Report!A36)</f>
        <v>5.2</v>
      </c>
      <c r="B23" t="str">
        <f>IF(ISBLANK(Report!B36)," - ",Report!B36)</f>
        <v>Data PCB Prototyping</v>
      </c>
      <c r="D23" s="20"/>
      <c r="E23" s="20"/>
      <c r="F23" s="20"/>
      <c r="G23" s="20"/>
      <c r="H23" s="20"/>
      <c r="I23" s="20"/>
      <c r="J23" s="20">
        <v>8</v>
      </c>
      <c r="K23" s="20">
        <v>32</v>
      </c>
      <c r="L23" s="20">
        <v>32</v>
      </c>
      <c r="M23" s="20"/>
      <c r="N23" s="20"/>
      <c r="O23" s="20"/>
      <c r="P23" s="20"/>
      <c r="Q23" s="20"/>
    </row>
    <row r="24" spans="1:17" x14ac:dyDescent="0.25">
      <c r="A24" s="6">
        <f>IF(ISBLANK(Report!A37)," - ",Report!A37)</f>
        <v>5.3</v>
      </c>
      <c r="B24" t="str">
        <f>IF(ISBLANK(Report!B37)," - ",Report!B37)</f>
        <v>PCB Deployment &amp; integration</v>
      </c>
      <c r="D24" s="20"/>
      <c r="E24" s="20"/>
      <c r="F24" s="20"/>
      <c r="G24" s="20"/>
      <c r="H24" s="20"/>
      <c r="I24" s="20"/>
      <c r="J24" s="20"/>
      <c r="K24" s="20"/>
      <c r="L24" s="20"/>
      <c r="M24" s="20">
        <v>8</v>
      </c>
      <c r="N24" s="20">
        <v>16</v>
      </c>
      <c r="O24" s="20">
        <v>8</v>
      </c>
      <c r="P24" s="20">
        <v>12</v>
      </c>
      <c r="Q24" s="20">
        <v>16</v>
      </c>
    </row>
    <row r="25" spans="1:17" x14ac:dyDescent="0.25">
      <c r="A25" s="6">
        <f>IF(ISBLANK(Report!A38)," - ",Report!A38)</f>
        <v>6.1</v>
      </c>
      <c r="B25" t="str">
        <f>IF(ISBLANK(Report!B38)," - ",Report!B38)</f>
        <v>Lidar - Research &amp; command</v>
      </c>
      <c r="D25" s="20"/>
      <c r="E25" s="20"/>
      <c r="F25" s="20"/>
      <c r="G25" s="20"/>
      <c r="H25" s="20"/>
      <c r="I25" s="20"/>
      <c r="J25" s="20"/>
      <c r="K25" s="20">
        <v>4</v>
      </c>
      <c r="L25" s="20">
        <v>2</v>
      </c>
      <c r="M25" s="20"/>
      <c r="N25" s="20"/>
      <c r="O25" s="20"/>
      <c r="P25" s="20"/>
      <c r="Q25" s="20"/>
    </row>
    <row r="26" spans="1:17" x14ac:dyDescent="0.25">
      <c r="A26" s="6">
        <f>IF(ISBLANK(Report!A39)," - ",Report!A39)</f>
        <v>6.2</v>
      </c>
      <c r="B26" t="str">
        <f>IF(ISBLANK(Report!B39)," - ",Report!B39)</f>
        <v>Lidar - Cabling &amp; Data sending</v>
      </c>
      <c r="D26" s="20"/>
      <c r="E26" s="20"/>
      <c r="F26" s="20"/>
      <c r="G26" s="20"/>
      <c r="H26" s="20"/>
      <c r="I26" s="20"/>
      <c r="J26" s="20"/>
      <c r="K26" s="20"/>
      <c r="L26" s="20"/>
      <c r="M26" s="20">
        <v>40</v>
      </c>
      <c r="N26" s="20">
        <v>42</v>
      </c>
      <c r="O26" s="20"/>
      <c r="P26" s="20"/>
      <c r="Q26" s="20"/>
    </row>
    <row r="27" spans="1:17" x14ac:dyDescent="0.25">
      <c r="A27" s="6">
        <f>IF(ISBLANK(Report!A40)," - ",Report!A40)</f>
        <v>6.3</v>
      </c>
      <c r="B27" t="str">
        <f>IF(ISBLANK(Report!B40)," - ",Report!B40)</f>
        <v>Lidar - Data treatment</v>
      </c>
      <c r="D27" s="20"/>
      <c r="E27" s="20"/>
      <c r="F27" s="20"/>
      <c r="G27" s="20"/>
      <c r="H27" s="20"/>
      <c r="I27" s="20"/>
      <c r="J27" s="20"/>
      <c r="K27" s="20"/>
      <c r="L27" s="20"/>
      <c r="M27" s="20">
        <v>32</v>
      </c>
      <c r="N27" s="20">
        <v>40</v>
      </c>
      <c r="O27" s="20">
        <v>8</v>
      </c>
      <c r="P27" s="20">
        <v>8</v>
      </c>
      <c r="Q27" s="20">
        <v>8</v>
      </c>
    </row>
    <row r="28" spans="1:17" x14ac:dyDescent="0.25">
      <c r="A28" s="6">
        <f>IF(ISBLANK(Report!A41)," - ",Report!A41)</f>
        <v>6.4</v>
      </c>
      <c r="B28" t="str">
        <f>IF(ISBLANK(Report!B41)," - ",Report!B41)</f>
        <v>Lidar - Integration on robot</v>
      </c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>
        <v>2</v>
      </c>
      <c r="Q28" s="20"/>
    </row>
    <row r="29" spans="1:17" x14ac:dyDescent="0.25">
      <c r="A29" s="6">
        <f>IF(ISBLANK(Report!A42)," - ",Report!A42)</f>
        <v>7.1</v>
      </c>
      <c r="B29" t="str">
        <f>IF(ISBLANK(Report!B42)," - ",Report!B42)</f>
        <v>Brainstorming Scenarii &amp; details</v>
      </c>
      <c r="D29" s="20"/>
      <c r="E29" s="20">
        <v>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</row>
    <row r="30" spans="1:17" x14ac:dyDescent="0.25">
      <c r="A30" s="6">
        <f>IF(ISBLANK(Report!A43)," - ",Report!A43)</f>
        <v>7.2</v>
      </c>
      <c r="B30" t="str">
        <f>IF(ISBLANK(Report!B43)," - ",Report!B43)</f>
        <v>Scenario 1</v>
      </c>
      <c r="D30" s="20"/>
      <c r="E30" s="20"/>
      <c r="F30" s="20">
        <v>8</v>
      </c>
      <c r="G30" s="20"/>
      <c r="H30" s="20"/>
      <c r="I30" s="20">
        <v>8</v>
      </c>
      <c r="J30" s="20"/>
      <c r="K30" s="20"/>
      <c r="L30" s="20"/>
      <c r="M30" s="20"/>
      <c r="N30" s="20"/>
      <c r="O30" s="20"/>
      <c r="P30" s="20"/>
      <c r="Q30" s="20"/>
    </row>
    <row r="31" spans="1:17" x14ac:dyDescent="0.25">
      <c r="A31" s="6">
        <f>IF(ISBLANK(Report!A44)," - ",Report!A44)</f>
        <v>7.3</v>
      </c>
      <c r="B31" t="str">
        <f>IF(ISBLANK(Report!B44)," - ",Report!B44)</f>
        <v>Scenario 2</v>
      </c>
      <c r="D31" s="20"/>
      <c r="E31" s="20"/>
      <c r="F31" s="20">
        <v>16</v>
      </c>
      <c r="G31" s="20">
        <v>8</v>
      </c>
      <c r="H31" s="20">
        <v>4</v>
      </c>
      <c r="I31" s="20">
        <v>60</v>
      </c>
      <c r="J31" s="20"/>
      <c r="K31" s="20"/>
      <c r="L31" s="20"/>
      <c r="M31" s="20"/>
      <c r="N31" s="20"/>
      <c r="O31" s="20"/>
      <c r="P31" s="20">
        <v>32</v>
      </c>
      <c r="Q31" s="20">
        <v>16</v>
      </c>
    </row>
    <row r="32" spans="1:17" x14ac:dyDescent="0.25">
      <c r="A32" s="6">
        <f>IF(ISBLANK(Report!A45)," - ",Report!A45)</f>
        <v>7.4</v>
      </c>
      <c r="B32" t="str">
        <f>IF(ISBLANK(Report!B45)," - ",Report!B45)</f>
        <v>Scenario 3</v>
      </c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>
        <v>10</v>
      </c>
      <c r="Q32" s="20"/>
    </row>
    <row r="33" spans="1:17" x14ac:dyDescent="0.25">
      <c r="A33" s="6">
        <f>IF(ISBLANK(Report!A46)," - ",Report!A46)</f>
        <v>7.5</v>
      </c>
      <c r="B33" t="str">
        <f>IF(ISBLANK(Report!B46)," - ",Report!B46)</f>
        <v>Scenario 4</v>
      </c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</row>
    <row r="34" spans="1:17" x14ac:dyDescent="0.25">
      <c r="A34" s="6">
        <f>IF(ISBLANK(Report!A47)," - ",Report!A47)</f>
        <v>8.1</v>
      </c>
      <c r="B34" t="str">
        <f>IF(ISBLANK(Report!B47)," - ",Report!B47)</f>
        <v>Preparation &amp; Participation NI</v>
      </c>
      <c r="D34" s="20">
        <v>45</v>
      </c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</row>
    <row r="35" spans="1:17" x14ac:dyDescent="0.25">
      <c r="A35" s="6">
        <f>IF(ISBLANK(Report!A48)," - ",Report!A48)</f>
        <v>9.1</v>
      </c>
      <c r="B35" t="str">
        <f>IF(ISBLANK(Report!B48)," - ",Report!B48)</f>
        <v>Weekly &amp; project management</v>
      </c>
      <c r="D35" s="20"/>
      <c r="E35" s="20">
        <v>24</v>
      </c>
      <c r="F35" s="20">
        <v>32</v>
      </c>
      <c r="G35" s="20">
        <v>8</v>
      </c>
      <c r="H35" s="20">
        <v>8</v>
      </c>
      <c r="I35" s="20">
        <v>12</v>
      </c>
      <c r="J35" s="20">
        <v>4</v>
      </c>
      <c r="K35" s="20">
        <v>32</v>
      </c>
      <c r="L35" s="20">
        <v>8</v>
      </c>
      <c r="M35" s="20">
        <v>8</v>
      </c>
      <c r="N35" s="20">
        <v>8</v>
      </c>
      <c r="O35" s="20">
        <v>4</v>
      </c>
      <c r="P35" s="20">
        <v>8</v>
      </c>
      <c r="Q35" s="20">
        <v>48</v>
      </c>
    </row>
    <row r="36" spans="1:17" x14ac:dyDescent="0.25">
      <c r="A36" s="6">
        <f>IF(ISBLANK(Report!A49)," - ",Report!A49)</f>
        <v>10.1</v>
      </c>
      <c r="B36" t="str">
        <f>IF(ISBLANK(Report!B49)," - ",Report!B49)</f>
        <v>Handover</v>
      </c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>
        <v>8</v>
      </c>
    </row>
    <row r="37" spans="1:17" x14ac:dyDescent="0.25">
      <c r="A37" s="6">
        <f>IF(ISBLANK(Report!A50)," - ",Report!A50)</f>
        <v>11.1</v>
      </c>
      <c r="B37" t="str">
        <f>IF(ISBLANK(Report!B50)," - ",Report!B50)</f>
        <v>JPO presentation</v>
      </c>
      <c r="D37" s="20"/>
      <c r="E37" s="20"/>
      <c r="F37" s="20"/>
      <c r="G37" s="20"/>
      <c r="H37" s="20"/>
      <c r="I37" s="20">
        <v>4</v>
      </c>
      <c r="J37" s="20">
        <v>30</v>
      </c>
      <c r="K37" s="20"/>
      <c r="L37" s="20"/>
      <c r="M37" s="20"/>
      <c r="N37" s="20"/>
      <c r="O37" s="20"/>
      <c r="P37" s="20">
        <v>10</v>
      </c>
      <c r="Q37" s="20"/>
    </row>
    <row r="38" spans="1:17" x14ac:dyDescent="0.25">
      <c r="A38" s="11" t="s">
        <v>20</v>
      </c>
      <c r="B38" s="4"/>
      <c r="C38" s="4"/>
    </row>
    <row r="39" spans="1:17" x14ac:dyDescent="0.25">
      <c r="C39" s="10" t="s">
        <v>49</v>
      </c>
      <c r="D39" s="17">
        <f t="shared" ref="D39:Q39" si="0">SUM(D9:D37)</f>
        <v>45</v>
      </c>
      <c r="E39" s="17">
        <f t="shared" si="0"/>
        <v>80</v>
      </c>
      <c r="F39" s="17">
        <f t="shared" si="0"/>
        <v>80</v>
      </c>
      <c r="G39" s="17">
        <f t="shared" si="0"/>
        <v>40</v>
      </c>
      <c r="H39" s="17">
        <f t="shared" si="0"/>
        <v>48</v>
      </c>
      <c r="I39" s="17">
        <f t="shared" si="0"/>
        <v>132</v>
      </c>
      <c r="J39" s="17">
        <f t="shared" si="0"/>
        <v>42</v>
      </c>
      <c r="K39" s="17">
        <f t="shared" si="0"/>
        <v>68</v>
      </c>
      <c r="L39" s="17">
        <f t="shared" si="0"/>
        <v>42</v>
      </c>
      <c r="M39" s="17">
        <f t="shared" si="0"/>
        <v>118</v>
      </c>
      <c r="N39" s="17">
        <f t="shared" si="0"/>
        <v>142</v>
      </c>
      <c r="O39" s="17">
        <f t="shared" si="0"/>
        <v>32</v>
      </c>
      <c r="P39" s="17">
        <f t="shared" si="0"/>
        <v>82</v>
      </c>
      <c r="Q39" s="17">
        <f t="shared" si="0"/>
        <v>104</v>
      </c>
    </row>
    <row r="41" spans="1:17" ht="13" x14ac:dyDescent="0.3">
      <c r="C41" s="7" t="s">
        <v>35</v>
      </c>
      <c r="D41" s="25">
        <f>SUM($D39:D39)</f>
        <v>45</v>
      </c>
      <c r="E41" s="25">
        <f>SUM($D39:E39)</f>
        <v>125</v>
      </c>
      <c r="F41" s="25">
        <f>SUM($D39:F39)</f>
        <v>205</v>
      </c>
      <c r="G41" s="25">
        <f>SUM($D39:G39)</f>
        <v>245</v>
      </c>
      <c r="H41" s="25">
        <f>SUM($D39:H39)</f>
        <v>293</v>
      </c>
      <c r="I41" s="25">
        <f>SUM($D39:I39)</f>
        <v>425</v>
      </c>
      <c r="J41" s="25">
        <f>SUM($D39:J39)</f>
        <v>467</v>
      </c>
      <c r="K41" s="25">
        <f>SUM($D39:K39)</f>
        <v>535</v>
      </c>
      <c r="L41" s="25">
        <f>SUM($D39:L39)</f>
        <v>577</v>
      </c>
      <c r="M41" s="25">
        <f>SUM($D39:M39)</f>
        <v>695</v>
      </c>
      <c r="N41" s="25">
        <f>SUM($D39:N39)</f>
        <v>837</v>
      </c>
      <c r="O41" s="25">
        <f>SUM($D39:O39)</f>
        <v>869</v>
      </c>
      <c r="P41" s="25">
        <f>SUM($D39:P39)</f>
        <v>951</v>
      </c>
      <c r="Q41" s="25">
        <f>SUM($D39:Q39)</f>
        <v>1055</v>
      </c>
    </row>
  </sheetData>
  <phoneticPr fontId="5" type="noConversion"/>
  <pageMargins left="0.5" right="0.5" top="0.25" bottom="0.25" header="0.5" footer="0.25"/>
  <pageSetup scale="9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3</vt:i4>
      </vt:variant>
    </vt:vector>
  </HeadingPairs>
  <TitlesOfParts>
    <vt:vector size="6" baseType="lpstr">
      <vt:lpstr>EV</vt:lpstr>
      <vt:lpstr>Report</vt:lpstr>
      <vt:lpstr>AC</vt:lpstr>
      <vt:lpstr>AC!Zone_d_impression</vt:lpstr>
      <vt:lpstr>EV!Zone_d_impression</vt:lpstr>
      <vt:lpstr>Report!Zone_d_impression</vt:lpstr>
    </vt:vector>
  </TitlesOfParts>
  <Manager/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Earned Value Management Template</dc:title>
  <dc:subject/>
  <dc:creator>Divers</dc:creator>
  <cp:keywords/>
  <dc:description>(c) 2012-2017 Vertex42 LLC. All Rights Reserved.</dc:description>
  <cp:lastModifiedBy>Nicolas</cp:lastModifiedBy>
  <cp:revision/>
  <dcterms:created xsi:type="dcterms:W3CDTF">2010-01-09T00:01:03Z</dcterms:created>
  <dcterms:modified xsi:type="dcterms:W3CDTF">2019-03-06T16:39:02Z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2012-2017 Vertex42 LLC</vt:lpwstr>
  </property>
  <property fmtid="{D5CDD505-2E9C-101B-9397-08002B2CF9AE}" pid="3" name="Source">
    <vt:lpwstr>https://www.vertex42.com/ExcelTemplates/earned-value-management.html</vt:lpwstr>
  </property>
  <property fmtid="{D5CDD505-2E9C-101B-9397-08002B2CF9AE}" pid="4" name="Version">
    <vt:lpwstr>1.1.1</vt:lpwstr>
  </property>
</Properties>
</file>
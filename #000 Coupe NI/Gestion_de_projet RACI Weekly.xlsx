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EA33FD31-5466-4BB3-AAB9-4656BA148A3B}" xr6:coauthVersionLast="36" xr6:coauthVersionMax="43" xr10:uidLastSave="{00000000-0000-0000-0000-000000000000}"/>
  <bookViews>
    <workbookView xWindow="-108" yWindow="-108" windowWidth="23256" windowHeight="12720" tabRatio="705" xr2:uid="{DA5DF307-7034-4F4E-90E0-F0D7D509C38B}"/>
  </bookViews>
  <sheets>
    <sheet name="RACI" sheetId="2" r:id="rId1"/>
    <sheet name="Weekly" sheetId="1" r:id="rId2"/>
    <sheet name="Gestion des fichiers" sheetId="3" r:id="rId3"/>
    <sheet name="Code Lab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0" i="3" l="1"/>
  <c r="E42" i="3"/>
  <c r="E34" i="3"/>
  <c r="E10" i="3" l="1"/>
  <c r="E18" i="3" l="1"/>
  <c r="E55" i="3"/>
  <c r="E15" i="3" l="1"/>
  <c r="E52" i="3"/>
  <c r="E71" i="3"/>
  <c r="E65" i="3" l="1"/>
  <c r="C6" i="3" s="1"/>
  <c r="E48" i="3" l="1"/>
  <c r="E26" i="3" l="1"/>
  <c r="E22" i="3"/>
  <c r="C5" i="3" l="1"/>
  <c r="C4" i="3" s="1"/>
</calcChain>
</file>

<file path=xl/sharedStrings.xml><?xml version="1.0" encoding="utf-8"?>
<sst xmlns="http://schemas.openxmlformats.org/spreadsheetml/2006/main" count="517" uniqueCount="197">
  <si>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</si>
  <si>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</si>
  <si>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</si>
  <si>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</si>
  <si>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</si>
  <si>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</si>
  <si>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</si>
  <si>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</si>
  <si>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</si>
  <si>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</si>
  <si>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</si>
  <si>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</si>
  <si>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</si>
  <si>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</si>
  <si>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</si>
  <si>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</si>
  <si>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</si>
  <si>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</si>
  <si>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</si>
  <si>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</si>
  <si>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</si>
  <si>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</si>
  <si>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</si>
  <si>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</si>
  <si>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</si>
  <si>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</si>
  <si>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</si>
  <si>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</si>
  <si>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</si>
  <si>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</si>
  <si>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</si>
  <si>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</si>
  <si>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</si>
  <si>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</si>
  <si>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</si>
  <si>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</si>
  <si>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</si>
  <si>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</si>
  <si>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</si>
  <si>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</si>
  <si>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</si>
  <si>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</si>
  <si>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</si>
  <si>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</si>
  <si>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</si>
  <si>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</si>
  <si>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</si>
  <si>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</si>
  <si>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</si>
  <si>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</si>
  <si>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</si>
  <si>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</si>
  <si>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</si>
  <si>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</si>
  <si>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</si>
  <si>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</si>
  <si>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</si>
  <si>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Teste/Reparation du raspberry</t>
  </si>
  <si>
    <t>Freez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</si>
  <si>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</si>
  <si>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</si>
  <si>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</si>
  <si>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</si>
  <si>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</si>
  <si>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</si>
  <si>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</si>
  <si>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</si>
  <si>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</si>
  <si>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</si>
  <si>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</si>
  <si>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</si>
  <si>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</si>
  <si>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</si>
  <si>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</si>
  <si>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</si>
  <si>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</si>
  <si>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</si>
  <si>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</si>
  <si>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</si>
  <si>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</si>
  <si>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</si>
  <si>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</si>
  <si>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</si>
  <si>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</si>
  <si>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</si>
  <si>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</si>
  <si>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#151 - Datasheet et Composant</t>
  </si>
  <si>
    <t>#152 - Model 3D</t>
  </si>
  <si>
    <t>#153 - Découpe Laser</t>
  </si>
  <si>
    <t>#161 - Datasheet et Composant</t>
  </si>
  <si>
    <t>#171 - Datasheet et Composant</t>
  </si>
  <si>
    <t>#172 - Instalation</t>
  </si>
  <si>
    <t>Christan MARGOLIS</t>
  </si>
  <si>
    <t>Nicolas COURT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</si>
  <si>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</si>
  <si>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</si>
  <si>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</si>
  <si>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</si>
  <si>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</si>
  <si>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</si>
  <si>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</si>
  <si>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</si>
  <si>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</si>
  <si>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</si>
  <si>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</si>
  <si>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</si>
  <si>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</si>
  <si>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</si>
  <si>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</si>
  <si>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</si>
  <si>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</si>
  <si>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</si>
  <si>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</si>
  <si>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</si>
  <si>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</si>
  <si>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</si>
  <si>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</si>
  <si>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</si>
  <si>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</si>
  <si>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</si>
  <si>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</si>
  <si>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</si>
  <si>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</si>
  <si>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</si>
  <si>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</si>
  <si>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</si>
  <si>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</si>
  <si>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</si>
  <si>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</si>
  <si>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</si>
  <si>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</si>
  <si>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</si>
  <si>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</si>
  <si>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</si>
  <si>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</si>
  <si>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</si>
  <si>
    <t>Rebuild</t>
  </si>
  <si>
    <t>Quentin BAUDIN -&gt; Jason PUEL</t>
  </si>
  <si>
    <t>PCB V3</t>
  </si>
  <si>
    <t>Testing  Code LabVIew</t>
  </si>
  <si>
    <t>#155 - Moteur trap</t>
  </si>
  <si>
    <t>#156 - Moteur manege</t>
  </si>
  <si>
    <t>#154 - Diode Détecteur couleur</t>
  </si>
  <si>
    <t>#112 - Sénario JPO: Lidar</t>
  </si>
  <si>
    <t>Tout le monde</t>
  </si>
  <si>
    <t>#164 - Faire imprimer</t>
  </si>
  <si>
    <t>Attente de la fin de l'analise</t>
  </si>
  <si>
    <t>#162 - Correction et amelioration</t>
  </si>
  <si>
    <t>#163 - Eagle</t>
  </si>
  <si>
    <t>Responsable</t>
  </si>
  <si>
    <t>Main_RT_V2</t>
  </si>
  <si>
    <t>Sous_VI_Avancer</t>
  </si>
  <si>
    <t>non</t>
  </si>
  <si>
    <t>Jason PUEL et Justin Furio</t>
  </si>
  <si>
    <t>Sous_VI_RT_recule</t>
  </si>
  <si>
    <t>Sous_VI_RT_Virage</t>
  </si>
  <si>
    <t>Sous_VI_RT_trieur-balles</t>
  </si>
  <si>
    <t>Florian GUIGAL et Justin Furio</t>
  </si>
  <si>
    <t>Sous_VI_Bras</t>
  </si>
  <si>
    <t>Sous_VI_acp_ligne</t>
  </si>
  <si>
    <t>Sous_VI_correction</t>
  </si>
  <si>
    <t>Sous_VI_moteurs</t>
  </si>
  <si>
    <t>Adrien</t>
  </si>
  <si>
    <t>Sous_VI_RT_Lanceur</t>
  </si>
  <si>
    <t>Sous_VI_distributeur_lanceur</t>
  </si>
  <si>
    <t>Sous_VI_moteur_roue_lanceur</t>
  </si>
  <si>
    <t>enum_Main_RT_V2</t>
  </si>
  <si>
    <t>enum_RT_Virage</t>
  </si>
  <si>
    <t>enum_RT_recule</t>
  </si>
  <si>
    <t>enum_RT_bras</t>
  </si>
  <si>
    <t>enum_distributeur_lanceur</t>
  </si>
  <si>
    <t>enum_moteur_lanceur</t>
  </si>
  <si>
    <t>niveau :</t>
  </si>
  <si>
    <t>nom du VI</t>
  </si>
  <si>
    <t>Enum associé</t>
  </si>
  <si>
    <t>Préparation poster</t>
  </si>
  <si>
    <t>Sous_VI_RT_Seaux</t>
  </si>
  <si>
    <t>enum_RT_Seaux</t>
  </si>
  <si>
    <t>Sous_VI_trieur_trappe</t>
  </si>
  <si>
    <t>Sous_VI_trieur_manege</t>
  </si>
  <si>
    <t>Florian GUIGAL</t>
  </si>
  <si>
    <t>enum_RT_trieur-balles</t>
  </si>
  <si>
    <t>enum_RT_lanceur</t>
  </si>
  <si>
    <t>Sous_VI_trieur_couleur</t>
  </si>
  <si>
    <t>#112 - Code Sénario JPO: Lidar</t>
  </si>
  <si>
    <t>#152 - Trieur - Découpe Laser</t>
  </si>
  <si>
    <t>#213 - Raspberry - Code Caméra</t>
  </si>
  <si>
    <t>#214 - Raspberry - Code Haut Parleur</t>
  </si>
  <si>
    <t>#215 - Raspberry - Code LCD</t>
  </si>
  <si>
    <t xml:space="preserve">#218 - Raspberry - Code Automatisation </t>
  </si>
  <si>
    <t>PCB V3 + RACI</t>
  </si>
  <si>
    <t>TAIGA</t>
  </si>
  <si>
    <t>#153 - Trieur - Electronique</t>
  </si>
  <si>
    <t>#161 - PCB</t>
  </si>
  <si>
    <t>Tuteur</t>
  </si>
  <si>
    <t>#222 - Raspberry - Electronique</t>
  </si>
  <si>
    <t>#111 - Code Concours 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</si>
</sst>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theme="8"/>
      </patternFill>
    </fill>
  </fills>
  <borders count="7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69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0" fillId="18" borderId="0" xfId="0" applyFill="1"/>
    <xf numFmtId="0" fontId="0" fillId="0" borderId="0" xfId="0" applyFill="1"/>
    <xf numFmtId="0" fontId="6" fillId="0" borderId="0" xfId="0" applyFont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  <xf numFmtId="0" fontId="0" fillId="10" borderId="4" xfId="3" applyFont="1" applyFill="1" applyBorder="1"/>
    <xf numFmtId="0" fontId="0" fillId="12" borderId="4" xfId="5" applyFont="1" applyFill="1" applyBorder="1"/>
    <xf numFmtId="0" fontId="0" fillId="14" borderId="4" xfId="7" applyFont="1" applyFill="1" applyBorder="1"/>
    <xf numFmtId="0" fontId="7" fillId="19" borderId="1" xfId="0" applyFont="1" applyFill="1" applyBorder="1"/>
    <xf numFmtId="0" fontId="0" fillId="6" borderId="5" xfId="0" applyFont="1" applyFill="1" applyBorder="1" applyAlignment="1">
      <alignment horizontal="center"/>
    </xf>
    <xf numFmtId="0" fontId="7" fillId="19" borderId="6" xfId="0" applyFont="1" applyFill="1" applyBorder="1"/>
    <xf numFmtId="0" fontId="0" fillId="5" borderId="1" xfId="0" applyFont="1" applyFill="1" applyBorder="1" applyAlignment="1">
      <alignment horizontal="center"/>
    </xf>
    <xf numFmtId="0" fontId="0" fillId="7" borderId="3" xfId="4" applyFont="1" applyFill="1" applyBorder="1"/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4" totalsRowShown="0">
  <autoFilter ref="B9:G74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49"/>
  <sheetViews>
    <sheetView showGridLines="0" tabSelected="1" topLeftCell="A25" zoomScale="92" workbookViewId="0">
      <pane xSplit="2" topLeftCell="C1" activePane="topRight" state="frozen"/>
      <selection pane="topRight" activeCell="F54" sqref="F54"/>
    </sheetView>
  </sheetViews>
  <sheetFormatPr baseColWidth="10" defaultRowHeight="14.4" x14ac:dyDescent="0.3"/>
  <cols>
    <col min="1" max="1" width="8" customWidth="1"/>
    <col min="2" max="2" width="34.21875" customWidth="1"/>
    <col min="3" max="3" width="15.6640625" customWidth="1"/>
    <col min="4" max="4" width="16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2:8" x14ac:dyDescent="0.3">
      <c r="C17" s="7" t="s">
        <v>43</v>
      </c>
      <c r="D17" t="s">
        <v>47</v>
      </c>
    </row>
    <row r="18" spans="2:8" x14ac:dyDescent="0.3">
      <c r="C18" s="11" t="s">
        <v>41</v>
      </c>
      <c r="D18" t="s">
        <v>48</v>
      </c>
    </row>
    <row r="19" spans="2:8" x14ac:dyDescent="0.3">
      <c r="C19" s="13" t="s">
        <v>44</v>
      </c>
      <c r="D19" t="s">
        <v>49</v>
      </c>
    </row>
    <row r="20" spans="2:8" x14ac:dyDescent="0.3">
      <c r="C20" s="9" t="s">
        <v>42</v>
      </c>
      <c r="D20" t="s">
        <v>50</v>
      </c>
    </row>
    <row r="21" spans="2:8" x14ac:dyDescent="0.3">
      <c r="C21" s="5" t="s">
        <v>46</v>
      </c>
      <c r="D21" t="s">
        <v>51</v>
      </c>
    </row>
    <row r="24" spans="2:8" x14ac:dyDescent="0.3">
      <c r="C24" s="64" t="s">
        <v>1</v>
      </c>
      <c r="D24" s="64" t="s">
        <v>3</v>
      </c>
      <c r="E24" s="64" t="s">
        <v>2</v>
      </c>
      <c r="F24" s="66" t="s">
        <v>40</v>
      </c>
      <c r="G24" s="66" t="s">
        <v>39</v>
      </c>
      <c r="H24" s="66" t="s">
        <v>194</v>
      </c>
    </row>
    <row r="25" spans="2:8" x14ac:dyDescent="0.3">
      <c r="B25" s="61" t="s">
        <v>77</v>
      </c>
      <c r="C25" s="13" t="s">
        <v>44</v>
      </c>
      <c r="D25" s="65" t="s">
        <v>42</v>
      </c>
      <c r="E25" s="65" t="s">
        <v>42</v>
      </c>
      <c r="F25" s="67" t="s">
        <v>43</v>
      </c>
      <c r="H25" s="11" t="s">
        <v>41</v>
      </c>
    </row>
    <row r="26" spans="2:8" x14ac:dyDescent="0.3">
      <c r="B26" s="61" t="s">
        <v>78</v>
      </c>
      <c r="C26" s="65" t="s">
        <v>42</v>
      </c>
      <c r="D26" s="65" t="s">
        <v>42</v>
      </c>
      <c r="E26" s="67" t="s">
        <v>43</v>
      </c>
      <c r="F26" s="65" t="s">
        <v>42</v>
      </c>
      <c r="H26" s="65" t="s">
        <v>42</v>
      </c>
    </row>
    <row r="27" spans="2:8" x14ac:dyDescent="0.3">
      <c r="B27" s="61" t="s">
        <v>94</v>
      </c>
      <c r="C27" s="67" t="s">
        <v>43</v>
      </c>
      <c r="D27" s="65" t="s">
        <v>42</v>
      </c>
      <c r="E27" s="65" t="s">
        <v>42</v>
      </c>
      <c r="F27" s="65" t="s">
        <v>42</v>
      </c>
      <c r="H27" s="11" t="s">
        <v>41</v>
      </c>
    </row>
    <row r="28" spans="2:8" x14ac:dyDescent="0.3">
      <c r="B28" s="68" t="s">
        <v>68</v>
      </c>
      <c r="C28" s="67" t="s">
        <v>43</v>
      </c>
      <c r="D28" s="65" t="s">
        <v>42</v>
      </c>
      <c r="E28" s="65" t="s">
        <v>42</v>
      </c>
      <c r="F28" s="13" t="s">
        <v>44</v>
      </c>
      <c r="H28" s="11" t="s">
        <v>41</v>
      </c>
    </row>
    <row r="29" spans="2:8" x14ac:dyDescent="0.3">
      <c r="B29" s="62" t="s">
        <v>196</v>
      </c>
      <c r="C29" s="67" t="s">
        <v>43</v>
      </c>
      <c r="D29" s="65" t="s">
        <v>42</v>
      </c>
      <c r="E29" s="67" t="s">
        <v>43</v>
      </c>
      <c r="F29" s="67" t="s">
        <v>43</v>
      </c>
      <c r="H29" s="11" t="s">
        <v>41</v>
      </c>
    </row>
    <row r="30" spans="2:8" x14ac:dyDescent="0.3">
      <c r="B30" s="62" t="s">
        <v>184</v>
      </c>
      <c r="C30" s="65" t="s">
        <v>42</v>
      </c>
      <c r="D30" s="65" t="s">
        <v>42</v>
      </c>
      <c r="E30" s="65" t="s">
        <v>42</v>
      </c>
      <c r="F30" s="65" t="s">
        <v>42</v>
      </c>
      <c r="G30" s="67" t="s">
        <v>43</v>
      </c>
      <c r="H30" s="65" t="s">
        <v>42</v>
      </c>
    </row>
    <row r="31" spans="2:8" x14ac:dyDescent="0.3">
      <c r="B31" s="62" t="s">
        <v>70</v>
      </c>
      <c r="C31" s="65" t="s">
        <v>42</v>
      </c>
      <c r="D31" s="65" t="s">
        <v>42</v>
      </c>
      <c r="E31" s="65" t="s">
        <v>42</v>
      </c>
      <c r="F31" s="65" t="s">
        <v>42</v>
      </c>
      <c r="G31" s="67" t="s">
        <v>43</v>
      </c>
      <c r="H31" s="65" t="s">
        <v>42</v>
      </c>
    </row>
    <row r="32" spans="2:8" x14ac:dyDescent="0.3">
      <c r="B32" s="62" t="s">
        <v>71</v>
      </c>
      <c r="C32" s="67" t="s">
        <v>43</v>
      </c>
      <c r="D32" s="13" t="s">
        <v>44</v>
      </c>
      <c r="E32" s="65" t="s">
        <v>42</v>
      </c>
      <c r="F32" s="65" t="s">
        <v>42</v>
      </c>
      <c r="G32" s="13" t="s">
        <v>44</v>
      </c>
      <c r="H32" s="65" t="s">
        <v>42</v>
      </c>
    </row>
    <row r="33" spans="2:8" x14ac:dyDescent="0.3">
      <c r="B33" s="62" t="s">
        <v>72</v>
      </c>
      <c r="C33" s="65" t="s">
        <v>42</v>
      </c>
      <c r="D33" s="65" t="s">
        <v>42</v>
      </c>
      <c r="E33" s="65" t="s">
        <v>42</v>
      </c>
      <c r="F33" s="65" t="s">
        <v>42</v>
      </c>
      <c r="G33" s="67" t="s">
        <v>43</v>
      </c>
      <c r="H33" s="65" t="s">
        <v>42</v>
      </c>
    </row>
    <row r="34" spans="2:8" x14ac:dyDescent="0.3">
      <c r="B34" s="62" t="s">
        <v>185</v>
      </c>
      <c r="C34" s="65" t="s">
        <v>42</v>
      </c>
      <c r="D34" s="67" t="s">
        <v>43</v>
      </c>
      <c r="E34" s="65" t="s">
        <v>42</v>
      </c>
      <c r="F34" s="13" t="s">
        <v>44</v>
      </c>
      <c r="G34" s="65" t="s">
        <v>42</v>
      </c>
      <c r="H34" s="65" t="s">
        <v>42</v>
      </c>
    </row>
    <row r="35" spans="2:8" x14ac:dyDescent="0.3">
      <c r="B35" s="62" t="s">
        <v>192</v>
      </c>
      <c r="C35" s="65" t="s">
        <v>42</v>
      </c>
      <c r="D35" s="65" t="s">
        <v>42</v>
      </c>
      <c r="E35" s="13" t="s">
        <v>44</v>
      </c>
      <c r="F35" s="67" t="s">
        <v>43</v>
      </c>
    </row>
    <row r="36" spans="2:8" x14ac:dyDescent="0.3">
      <c r="B36" s="62" t="s">
        <v>193</v>
      </c>
      <c r="C36" s="67" t="s">
        <v>43</v>
      </c>
      <c r="D36" s="65" t="s">
        <v>42</v>
      </c>
      <c r="E36" s="13" t="s">
        <v>44</v>
      </c>
      <c r="F36" s="13" t="s">
        <v>44</v>
      </c>
      <c r="H36" s="11" t="s">
        <v>41</v>
      </c>
    </row>
    <row r="37" spans="2:8" x14ac:dyDescent="0.3">
      <c r="B37" s="62" t="s">
        <v>75</v>
      </c>
      <c r="C37" s="13" t="s">
        <v>44</v>
      </c>
      <c r="D37" s="65" t="s">
        <v>42</v>
      </c>
      <c r="E37" s="13" t="s">
        <v>44</v>
      </c>
      <c r="F37" s="13" t="s">
        <v>44</v>
      </c>
      <c r="G37" s="67" t="s">
        <v>43</v>
      </c>
      <c r="H37" s="65" t="s">
        <v>42</v>
      </c>
    </row>
    <row r="38" spans="2:8" x14ac:dyDescent="0.3">
      <c r="B38" s="62" t="s">
        <v>120</v>
      </c>
      <c r="C38" s="65" t="s">
        <v>42</v>
      </c>
      <c r="D38" s="13" t="s">
        <v>44</v>
      </c>
      <c r="E38" s="65" t="s">
        <v>42</v>
      </c>
      <c r="F38" s="65" t="s">
        <v>42</v>
      </c>
      <c r="G38" s="67" t="s">
        <v>43</v>
      </c>
      <c r="H38" s="11" t="s">
        <v>41</v>
      </c>
    </row>
    <row r="39" spans="2:8" x14ac:dyDescent="0.3">
      <c r="B39" s="63" t="s">
        <v>186</v>
      </c>
      <c r="C39" s="65" t="s">
        <v>42</v>
      </c>
      <c r="D39" s="65" t="s">
        <v>42</v>
      </c>
      <c r="E39" s="67" t="s">
        <v>43</v>
      </c>
      <c r="F39" s="13" t="s">
        <v>44</v>
      </c>
      <c r="G39" s="13" t="s">
        <v>44</v>
      </c>
      <c r="H39" s="65" t="s">
        <v>42</v>
      </c>
    </row>
    <row r="40" spans="2:8" x14ac:dyDescent="0.3">
      <c r="B40" s="63" t="s">
        <v>187</v>
      </c>
      <c r="C40" s="13" t="s">
        <v>44</v>
      </c>
      <c r="D40" s="67" t="s">
        <v>43</v>
      </c>
      <c r="E40" s="13" t="s">
        <v>44</v>
      </c>
      <c r="F40" s="65" t="s">
        <v>42</v>
      </c>
      <c r="G40" s="65" t="s">
        <v>42</v>
      </c>
      <c r="H40" s="65" t="s">
        <v>42</v>
      </c>
    </row>
    <row r="41" spans="2:8" x14ac:dyDescent="0.3">
      <c r="B41" s="63" t="s">
        <v>188</v>
      </c>
      <c r="C41" s="65" t="s">
        <v>42</v>
      </c>
      <c r="D41" s="65" t="s">
        <v>42</v>
      </c>
      <c r="E41" s="65" t="s">
        <v>42</v>
      </c>
      <c r="F41" s="65" t="s">
        <v>42</v>
      </c>
      <c r="G41" s="67" t="s">
        <v>43</v>
      </c>
      <c r="H41" s="65" t="s">
        <v>42</v>
      </c>
    </row>
    <row r="42" spans="2:8" x14ac:dyDescent="0.3">
      <c r="B42" s="63" t="s">
        <v>189</v>
      </c>
      <c r="C42" s="65" t="s">
        <v>42</v>
      </c>
      <c r="D42" s="65" t="s">
        <v>42</v>
      </c>
      <c r="E42" s="67" t="s">
        <v>43</v>
      </c>
      <c r="F42" s="65" t="s">
        <v>42</v>
      </c>
    </row>
    <row r="43" spans="2:8" x14ac:dyDescent="0.3">
      <c r="B43" s="63" t="s">
        <v>195</v>
      </c>
      <c r="C43" s="65" t="s">
        <v>42</v>
      </c>
      <c r="D43" s="65" t="s">
        <v>42</v>
      </c>
      <c r="E43" s="65" t="s">
        <v>42</v>
      </c>
      <c r="F43" s="67" t="s">
        <v>43</v>
      </c>
      <c r="G43" s="65" t="s">
        <v>42</v>
      </c>
      <c r="H43" s="65" t="s">
        <v>42</v>
      </c>
    </row>
    <row r="44" spans="2:8" x14ac:dyDescent="0.3">
      <c r="B44" s="63" t="s">
        <v>102</v>
      </c>
      <c r="C44" s="67" t="s">
        <v>43</v>
      </c>
      <c r="D44" s="65" t="s">
        <v>42</v>
      </c>
      <c r="E44" s="65" t="s">
        <v>42</v>
      </c>
      <c r="F44" s="65" t="s">
        <v>42</v>
      </c>
      <c r="G44" s="65" t="s">
        <v>42</v>
      </c>
      <c r="H44" s="65" t="s">
        <v>42</v>
      </c>
    </row>
    <row r="46" spans="2:8" x14ac:dyDescent="0.3">
      <c r="C46" s="7" t="s">
        <v>43</v>
      </c>
      <c r="D46" t="s">
        <v>47</v>
      </c>
    </row>
    <row r="47" spans="2:8" x14ac:dyDescent="0.3">
      <c r="C47" s="11" t="s">
        <v>41</v>
      </c>
      <c r="D47" t="s">
        <v>48</v>
      </c>
    </row>
    <row r="48" spans="2:8" x14ac:dyDescent="0.3">
      <c r="C48" s="13" t="s">
        <v>44</v>
      </c>
      <c r="D48" t="s">
        <v>49</v>
      </c>
    </row>
    <row r="49" spans="3:4" x14ac:dyDescent="0.3">
      <c r="C49" s="9" t="s">
        <v>42</v>
      </c>
      <c r="D49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F11"/>
  <sheetViews>
    <sheetView workbookViewId="0">
      <pane xSplit="1" topLeftCell="R1" activePane="topRight" state="frozen"/>
      <selection pane="topRight" activeCell="Z4" sqref="Z4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  <col min="31" max="31" width="9.88671875" customWidth="1"/>
  </cols>
  <sheetData>
    <row r="1" spans="1:32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  <c r="AB1" s="1">
        <v>43584</v>
      </c>
      <c r="AC1" s="1">
        <v>43591</v>
      </c>
      <c r="AD1" s="1">
        <v>43598</v>
      </c>
      <c r="AE1" s="1">
        <v>43601</v>
      </c>
      <c r="AF1" s="1">
        <v>43605</v>
      </c>
    </row>
    <row r="2" spans="1:32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57</v>
      </c>
      <c r="S2" s="52" t="s">
        <v>29</v>
      </c>
      <c r="T2" s="52" t="s">
        <v>110</v>
      </c>
      <c r="U2" s="2" t="s">
        <v>123</v>
      </c>
      <c r="V2" s="2" t="s">
        <v>124</v>
      </c>
      <c r="W2" s="3" t="s">
        <v>131</v>
      </c>
      <c r="X2" s="3" t="s">
        <v>131</v>
      </c>
      <c r="Y2" s="3" t="s">
        <v>131</v>
      </c>
      <c r="Z2" s="56"/>
      <c r="AA2" s="3" t="s">
        <v>131</v>
      </c>
      <c r="AB2" s="3" t="s">
        <v>131</v>
      </c>
      <c r="AC2" s="2" t="s">
        <v>131</v>
      </c>
      <c r="AD2" s="3" t="s">
        <v>138</v>
      </c>
      <c r="AE2" s="56" t="s">
        <v>175</v>
      </c>
      <c r="AF2" s="2" t="s">
        <v>190</v>
      </c>
    </row>
    <row r="3" spans="1:32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57</v>
      </c>
      <c r="S3" s="52" t="s">
        <v>29</v>
      </c>
      <c r="T3" s="52" t="s">
        <v>110</v>
      </c>
      <c r="U3" s="2" t="s">
        <v>122</v>
      </c>
      <c r="V3" s="3" t="s">
        <v>125</v>
      </c>
      <c r="W3" s="3" t="s">
        <v>131</v>
      </c>
      <c r="X3" s="3" t="s">
        <v>131</v>
      </c>
      <c r="Y3" s="3" t="s">
        <v>131</v>
      </c>
      <c r="Z3" s="56"/>
      <c r="AA3" s="3" t="s">
        <v>131</v>
      </c>
      <c r="AB3" s="3" t="s">
        <v>131</v>
      </c>
      <c r="AC3" s="2" t="s">
        <v>131</v>
      </c>
      <c r="AD3" s="2" t="s">
        <v>131</v>
      </c>
      <c r="AE3" s="56" t="s">
        <v>175</v>
      </c>
    </row>
    <row r="4" spans="1:32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111</v>
      </c>
      <c r="U4" s="3" t="s">
        <v>121</v>
      </c>
      <c r="V4" s="2" t="s">
        <v>130</v>
      </c>
      <c r="W4" s="2"/>
      <c r="X4" s="3" t="s">
        <v>131</v>
      </c>
      <c r="Y4" s="3" t="s">
        <v>131</v>
      </c>
      <c r="Z4" s="56"/>
      <c r="AB4" s="3" t="s">
        <v>139</v>
      </c>
      <c r="AC4" s="2" t="s">
        <v>131</v>
      </c>
      <c r="AD4" s="56" t="s">
        <v>175</v>
      </c>
      <c r="AE4" s="14" t="s">
        <v>11</v>
      </c>
      <c r="AF4" s="14" t="s">
        <v>11</v>
      </c>
    </row>
    <row r="5" spans="1:32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57</v>
      </c>
      <c r="S5" s="55"/>
      <c r="T5" s="4" t="s">
        <v>111</v>
      </c>
      <c r="U5" s="3" t="s">
        <v>31</v>
      </c>
      <c r="V5" s="2" t="s">
        <v>31</v>
      </c>
      <c r="W5" s="3" t="s">
        <v>131</v>
      </c>
      <c r="X5" s="3" t="s">
        <v>132</v>
      </c>
      <c r="Y5" s="3" t="s">
        <v>132</v>
      </c>
      <c r="Z5" s="56"/>
      <c r="AA5" s="3" t="s">
        <v>131</v>
      </c>
      <c r="AB5" s="3" t="s">
        <v>131</v>
      </c>
      <c r="AC5" s="2" t="s">
        <v>131</v>
      </c>
      <c r="AD5" s="2" t="s">
        <v>131</v>
      </c>
      <c r="AE5" s="56" t="s">
        <v>175</v>
      </c>
      <c r="AF5" s="2" t="s">
        <v>191</v>
      </c>
    </row>
    <row r="6" spans="1:32" x14ac:dyDescent="0.3">
      <c r="F6" t="s">
        <v>22</v>
      </c>
      <c r="G6" t="s">
        <v>25</v>
      </c>
      <c r="O6" t="s">
        <v>26</v>
      </c>
    </row>
    <row r="7" spans="1:32" x14ac:dyDescent="0.3">
      <c r="F7" t="s">
        <v>23</v>
      </c>
    </row>
    <row r="8" spans="1:32" x14ac:dyDescent="0.3">
      <c r="F8" t="s">
        <v>24</v>
      </c>
    </row>
    <row r="11" spans="1:32" x14ac:dyDescent="0.3">
      <c r="AB11" s="5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9"/>
  <sheetViews>
    <sheetView topLeftCell="A43" zoomScale="80" zoomScaleNormal="80" workbookViewId="0">
      <selection activeCell="G57" sqref="G57"/>
    </sheetView>
  </sheetViews>
  <sheetFormatPr baseColWidth="10" defaultRowHeight="14.4" x14ac:dyDescent="0.3"/>
  <cols>
    <col min="1" max="1" width="6.88671875" customWidth="1"/>
    <col min="2" max="2" width="15" customWidth="1"/>
    <col min="3" max="3" width="27" customWidth="1"/>
    <col min="4" max="4" width="29.88671875" customWidth="1"/>
    <col min="6" max="6" width="8.6640625" style="26" hidden="1" customWidth="1"/>
    <col min="7" max="7" width="35" customWidth="1"/>
    <col min="8" max="8" width="11.5546875" customWidth="1"/>
  </cols>
  <sheetData>
    <row r="2" spans="2:7" ht="23.4" x14ac:dyDescent="0.45">
      <c r="B2" s="60" t="s">
        <v>59</v>
      </c>
      <c r="C2" s="60"/>
      <c r="D2" s="60"/>
      <c r="E2" s="60"/>
    </row>
    <row r="3" spans="2:7" ht="15" customHeight="1" x14ac:dyDescent="0.45">
      <c r="B3" s="27" t="s">
        <v>52</v>
      </c>
      <c r="C3" s="27" t="s">
        <v>65</v>
      </c>
      <c r="D3" s="27" t="s">
        <v>64</v>
      </c>
      <c r="E3" s="25"/>
    </row>
    <row r="4" spans="2:7" x14ac:dyDescent="0.3">
      <c r="B4" s="36" t="s">
        <v>61</v>
      </c>
      <c r="C4" s="45">
        <f ca="1">(SUM(E10,C5,E15))/3</f>
        <v>0.5747619047619047</v>
      </c>
      <c r="D4" s="36" t="s">
        <v>135</v>
      </c>
    </row>
    <row r="5" spans="2:7" x14ac:dyDescent="0.3">
      <c r="B5" s="35" t="s">
        <v>108</v>
      </c>
      <c r="C5" s="41">
        <f>(SUM(E22,E26,E30,E34,E42,E18,E48))/7</f>
        <v>0.72428571428571431</v>
      </c>
      <c r="D5" s="18"/>
    </row>
    <row r="6" spans="2:7" x14ac:dyDescent="0.3">
      <c r="B6" s="21" t="s">
        <v>66</v>
      </c>
      <c r="C6" s="43">
        <f>(SUM(E71,E65,E55))/3</f>
        <v>0.95333333333333325</v>
      </c>
      <c r="D6" s="21" t="s">
        <v>119</v>
      </c>
    </row>
    <row r="8" spans="2:7" ht="23.4" customHeight="1" x14ac:dyDescent="0.3">
      <c r="B8" s="59" t="s">
        <v>54</v>
      </c>
      <c r="C8" s="59"/>
      <c r="D8" s="59"/>
      <c r="E8" s="59"/>
    </row>
    <row r="9" spans="2:7" x14ac:dyDescent="0.3">
      <c r="B9" t="s">
        <v>52</v>
      </c>
      <c r="C9" t="s">
        <v>60</v>
      </c>
      <c r="D9" t="s">
        <v>55</v>
      </c>
      <c r="E9" t="s">
        <v>53</v>
      </c>
      <c r="F9" s="26" t="s">
        <v>62</v>
      </c>
      <c r="G9" t="s">
        <v>64</v>
      </c>
    </row>
    <row r="10" spans="2:7" x14ac:dyDescent="0.3">
      <c r="B10" s="36" t="s">
        <v>67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77</v>
      </c>
      <c r="D11" s="29" t="s">
        <v>127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78</v>
      </c>
      <c r="D12" s="29" t="s">
        <v>128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94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68</v>
      </c>
      <c r="C15" s="20"/>
      <c r="D15" s="20"/>
      <c r="E15" s="39">
        <f>SUMIF(E16,"Done",F16)</f>
        <v>0</v>
      </c>
      <c r="F15" s="28"/>
      <c r="G15" s="20"/>
    </row>
    <row r="16" spans="2:7" x14ac:dyDescent="0.3">
      <c r="B16" s="15"/>
      <c r="C16" s="15"/>
      <c r="D16" s="29" t="s">
        <v>129</v>
      </c>
      <c r="E16" s="54" t="s">
        <v>58</v>
      </c>
      <c r="F16" s="37">
        <v>1</v>
      </c>
      <c r="G16" s="15"/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69</v>
      </c>
      <c r="C18" s="18"/>
      <c r="D18" s="18"/>
      <c r="E18" s="41">
        <f>SUMIF(E19:E20,"Done",F19:F20)</f>
        <v>1</v>
      </c>
      <c r="F18" s="22"/>
      <c r="G18" s="18"/>
    </row>
    <row r="19" spans="2:7" x14ac:dyDescent="0.3">
      <c r="B19" s="16"/>
      <c r="C19" s="34" t="s">
        <v>79</v>
      </c>
      <c r="D19" s="16" t="s">
        <v>144</v>
      </c>
      <c r="E19" s="40" t="s">
        <v>56</v>
      </c>
      <c r="F19" s="50">
        <v>0.5</v>
      </c>
      <c r="G19" s="16"/>
    </row>
    <row r="20" spans="2:7" x14ac:dyDescent="0.3">
      <c r="B20" s="16"/>
      <c r="C20" s="34" t="s">
        <v>143</v>
      </c>
      <c r="D20" s="34" t="s">
        <v>63</v>
      </c>
      <c r="E20" s="46" t="s">
        <v>56</v>
      </c>
      <c r="F20" s="50">
        <v>0.5</v>
      </c>
      <c r="G20" s="16"/>
    </row>
    <row r="21" spans="2:7" x14ac:dyDescent="0.3">
      <c r="B21" s="16"/>
      <c r="C21" s="34"/>
      <c r="D21" s="16"/>
      <c r="E21" s="40"/>
      <c r="F21" s="31"/>
      <c r="G21" s="16"/>
    </row>
    <row r="22" spans="2:7" x14ac:dyDescent="0.3">
      <c r="B22" s="35" t="s">
        <v>70</v>
      </c>
      <c r="C22" s="18"/>
      <c r="D22" s="18"/>
      <c r="E22" s="41">
        <f>SUMIF(E23:E24,"Done",F23:F24)</f>
        <v>0.5</v>
      </c>
      <c r="F22" s="22"/>
      <c r="G22" s="18"/>
    </row>
    <row r="23" spans="2:7" x14ac:dyDescent="0.3">
      <c r="B23" s="16"/>
      <c r="C23" s="34" t="s">
        <v>80</v>
      </c>
      <c r="D23" s="16"/>
      <c r="E23" s="40"/>
      <c r="F23" s="31">
        <v>0.5</v>
      </c>
      <c r="G23" s="16"/>
    </row>
    <row r="24" spans="2:7" x14ac:dyDescent="0.3">
      <c r="B24" s="16"/>
      <c r="C24" s="34" t="s">
        <v>81</v>
      </c>
      <c r="D24" s="16"/>
      <c r="E24" s="40" t="s">
        <v>56</v>
      </c>
      <c r="F24" s="31">
        <v>0.5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71</v>
      </c>
      <c r="C26" s="18"/>
      <c r="D26" s="18"/>
      <c r="E26" s="41">
        <f>SUMIF(E27:E28,"Done",F27:F28)</f>
        <v>1</v>
      </c>
      <c r="F26" s="22"/>
      <c r="G26" s="18"/>
    </row>
    <row r="27" spans="2:7" x14ac:dyDescent="0.3">
      <c r="B27" s="16"/>
      <c r="C27" s="34" t="s">
        <v>82</v>
      </c>
      <c r="D27" s="16"/>
      <c r="E27" s="40" t="s">
        <v>56</v>
      </c>
      <c r="F27" s="31">
        <v>0.5</v>
      </c>
      <c r="G27" s="16"/>
    </row>
    <row r="28" spans="2:7" x14ac:dyDescent="0.3">
      <c r="B28" s="16"/>
      <c r="C28" s="34" t="s">
        <v>83</v>
      </c>
      <c r="D28" s="34" t="s">
        <v>1</v>
      </c>
      <c r="E28" s="40" t="s">
        <v>56</v>
      </c>
      <c r="F28" s="31">
        <v>0.5</v>
      </c>
      <c r="G28" s="16"/>
    </row>
    <row r="29" spans="2:7" x14ac:dyDescent="0.3">
      <c r="B29" s="16"/>
      <c r="C29" s="34"/>
      <c r="D29" s="34"/>
      <c r="E29" s="40"/>
      <c r="F29" s="31"/>
      <c r="G29" s="16"/>
    </row>
    <row r="30" spans="2:7" x14ac:dyDescent="0.3">
      <c r="B30" s="35" t="s">
        <v>72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84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85</v>
      </c>
      <c r="D32" s="16"/>
      <c r="E32" s="40" t="s">
        <v>56</v>
      </c>
      <c r="F32" s="31">
        <v>0.5</v>
      </c>
      <c r="G32" s="16"/>
    </row>
    <row r="33" spans="2:7" x14ac:dyDescent="0.3">
      <c r="B33" s="16"/>
      <c r="C33" s="34"/>
      <c r="D33" s="16"/>
      <c r="E33" s="46"/>
      <c r="F33" s="31"/>
      <c r="G33" s="16"/>
    </row>
    <row r="34" spans="2:7" x14ac:dyDescent="0.3">
      <c r="B34" s="35" t="s">
        <v>73</v>
      </c>
      <c r="C34" s="18"/>
      <c r="D34" s="18"/>
      <c r="E34" s="42">
        <f>SUMIF(E35:E40,"Done",F35:F40)</f>
        <v>0.82000000000000006</v>
      </c>
      <c r="F34" s="22"/>
      <c r="G34" s="18"/>
    </row>
    <row r="35" spans="2:7" x14ac:dyDescent="0.3">
      <c r="B35" s="16"/>
      <c r="C35" s="34" t="s">
        <v>86</v>
      </c>
      <c r="D35" s="16"/>
      <c r="E35" s="40"/>
      <c r="F35" s="31">
        <v>0.18</v>
      </c>
      <c r="G35" s="16"/>
    </row>
    <row r="36" spans="2:7" x14ac:dyDescent="0.3">
      <c r="B36" s="16"/>
      <c r="C36" s="34" t="s">
        <v>87</v>
      </c>
      <c r="D36" s="34" t="s">
        <v>92</v>
      </c>
      <c r="E36" s="40" t="s">
        <v>56</v>
      </c>
      <c r="F36" s="31">
        <v>0.16</v>
      </c>
      <c r="G36" s="16"/>
    </row>
    <row r="37" spans="2:7" x14ac:dyDescent="0.3">
      <c r="B37" s="16"/>
      <c r="C37" s="34" t="s">
        <v>88</v>
      </c>
      <c r="D37" s="34" t="s">
        <v>92</v>
      </c>
      <c r="E37" s="46" t="s">
        <v>56</v>
      </c>
      <c r="F37" s="31">
        <v>0.16500000000000001</v>
      </c>
      <c r="G37" s="16"/>
    </row>
    <row r="38" spans="2:7" x14ac:dyDescent="0.3">
      <c r="B38" s="16"/>
      <c r="C38" s="34" t="s">
        <v>142</v>
      </c>
      <c r="D38" s="34" t="s">
        <v>40</v>
      </c>
      <c r="E38" s="46" t="s">
        <v>56</v>
      </c>
      <c r="F38" s="31">
        <v>0.16500000000000001</v>
      </c>
      <c r="G38" s="16"/>
    </row>
    <row r="39" spans="2:7" x14ac:dyDescent="0.3">
      <c r="B39" s="16"/>
      <c r="C39" s="34" t="s">
        <v>140</v>
      </c>
      <c r="D39" s="34" t="s">
        <v>40</v>
      </c>
      <c r="E39" s="46" t="s">
        <v>56</v>
      </c>
      <c r="F39" s="31">
        <v>0.16500000000000001</v>
      </c>
      <c r="G39" s="16"/>
    </row>
    <row r="40" spans="2:7" x14ac:dyDescent="0.3">
      <c r="B40" s="16"/>
      <c r="C40" s="34" t="s">
        <v>141</v>
      </c>
      <c r="D40" s="34" t="s">
        <v>40</v>
      </c>
      <c r="E40" s="46" t="s">
        <v>56</v>
      </c>
      <c r="F40" s="31">
        <v>0.16500000000000001</v>
      </c>
      <c r="G40" s="16"/>
    </row>
    <row r="41" spans="2:7" x14ac:dyDescent="0.3">
      <c r="B41" s="16"/>
      <c r="C41" s="34"/>
      <c r="D41" s="34"/>
      <c r="E41" s="46"/>
      <c r="F41" s="31"/>
      <c r="G41" s="16"/>
    </row>
    <row r="42" spans="2:7" x14ac:dyDescent="0.3">
      <c r="B42" s="35" t="s">
        <v>74</v>
      </c>
      <c r="C42" s="18"/>
      <c r="D42" s="18"/>
      <c r="E42" s="42">
        <f>SUMIF(E43:E46,"Done",F43:F46)</f>
        <v>0.25</v>
      </c>
      <c r="F42" s="22"/>
      <c r="G42" s="18"/>
    </row>
    <row r="43" spans="2:7" x14ac:dyDescent="0.3">
      <c r="B43" s="16"/>
      <c r="C43" s="34" t="s">
        <v>89</v>
      </c>
      <c r="D43" s="34" t="s">
        <v>137</v>
      </c>
      <c r="E43" s="46" t="s">
        <v>58</v>
      </c>
      <c r="F43" s="31">
        <v>0.25</v>
      </c>
      <c r="G43" s="16" t="s">
        <v>146</v>
      </c>
    </row>
    <row r="44" spans="2:7" x14ac:dyDescent="0.3">
      <c r="B44" s="16"/>
      <c r="C44" s="34" t="s">
        <v>147</v>
      </c>
      <c r="D44" s="34" t="s">
        <v>1</v>
      </c>
      <c r="E44" s="46" t="s">
        <v>56</v>
      </c>
      <c r="F44" s="31">
        <v>0.25</v>
      </c>
      <c r="G44" s="16" t="s">
        <v>138</v>
      </c>
    </row>
    <row r="45" spans="2:7" x14ac:dyDescent="0.3">
      <c r="B45" s="16"/>
      <c r="C45" s="34" t="s">
        <v>148</v>
      </c>
      <c r="D45" s="34" t="s">
        <v>1</v>
      </c>
      <c r="E45" s="40" t="s">
        <v>136</v>
      </c>
      <c r="F45" s="31">
        <v>0.25</v>
      </c>
      <c r="G45" s="16"/>
    </row>
    <row r="46" spans="2:7" x14ac:dyDescent="0.3">
      <c r="B46" s="16"/>
      <c r="C46" s="34" t="s">
        <v>145</v>
      </c>
      <c r="D46" s="34" t="s">
        <v>1</v>
      </c>
      <c r="E46" s="40"/>
      <c r="F46" s="31">
        <v>0.25</v>
      </c>
      <c r="G46" s="16"/>
    </row>
    <row r="47" spans="2:7" x14ac:dyDescent="0.3">
      <c r="B47" s="16"/>
      <c r="C47" s="16"/>
      <c r="D47" s="16"/>
      <c r="E47" s="16"/>
      <c r="F47" s="16"/>
      <c r="G47" s="16"/>
    </row>
    <row r="48" spans="2:7" x14ac:dyDescent="0.3">
      <c r="B48" s="35" t="s">
        <v>75</v>
      </c>
      <c r="C48" s="18"/>
      <c r="D48" s="18"/>
      <c r="E48" s="42">
        <f>SUMIF(E49:E50,"Done",F49:F50)</f>
        <v>1</v>
      </c>
      <c r="F48" s="18"/>
      <c r="G48" s="18"/>
    </row>
    <row r="49" spans="2:7" x14ac:dyDescent="0.3">
      <c r="B49" s="16"/>
      <c r="C49" s="34" t="s">
        <v>90</v>
      </c>
      <c r="D49" s="16"/>
      <c r="E49" s="46" t="s">
        <v>56</v>
      </c>
      <c r="F49" s="31">
        <v>0.5</v>
      </c>
      <c r="G49" s="16"/>
    </row>
    <row r="50" spans="2:7" x14ac:dyDescent="0.3">
      <c r="B50" s="16"/>
      <c r="C50" s="34" t="s">
        <v>91</v>
      </c>
      <c r="D50" s="34" t="s">
        <v>93</v>
      </c>
      <c r="E50" s="46" t="s">
        <v>56</v>
      </c>
      <c r="F50" s="31">
        <v>0.5</v>
      </c>
      <c r="G50" s="16"/>
    </row>
    <row r="51" spans="2:7" x14ac:dyDescent="0.3">
      <c r="B51" s="16"/>
      <c r="C51" s="34"/>
      <c r="D51" s="34"/>
      <c r="E51" s="46"/>
      <c r="F51" s="31"/>
      <c r="G51" s="16"/>
    </row>
    <row r="52" spans="2:7" x14ac:dyDescent="0.3">
      <c r="B52" s="35" t="s">
        <v>120</v>
      </c>
      <c r="C52" s="18"/>
      <c r="D52" s="18"/>
      <c r="E52" s="41">
        <f>SUMIF(E53:E53,"Done",F53:F53)</f>
        <v>1</v>
      </c>
      <c r="F52" s="53"/>
      <c r="G52" s="18"/>
    </row>
    <row r="53" spans="2:7" x14ac:dyDescent="0.3">
      <c r="B53" s="16"/>
      <c r="C53" s="34" t="s">
        <v>134</v>
      </c>
      <c r="D53" s="16"/>
      <c r="E53" s="46" t="s">
        <v>56</v>
      </c>
      <c r="F53" s="50">
        <v>1</v>
      </c>
      <c r="G53" s="16"/>
    </row>
    <row r="54" spans="2:7" x14ac:dyDescent="0.3">
      <c r="B54" s="16"/>
      <c r="C54" s="16"/>
      <c r="D54" s="16"/>
      <c r="E54" s="40"/>
      <c r="F54" s="31"/>
      <c r="G54" s="16"/>
    </row>
    <row r="55" spans="2:7" x14ac:dyDescent="0.3">
      <c r="B55" s="21" t="s">
        <v>76</v>
      </c>
      <c r="C55" s="19"/>
      <c r="D55" s="21"/>
      <c r="E55" s="43">
        <f>SUMIF(E56:E63,"Done",F56:F63)</f>
        <v>0.86</v>
      </c>
      <c r="F55" s="24"/>
      <c r="G55" s="21"/>
    </row>
    <row r="56" spans="2:7" x14ac:dyDescent="0.3">
      <c r="B56" s="17"/>
      <c r="C56" s="23" t="s">
        <v>96</v>
      </c>
      <c r="D56" s="23" t="s">
        <v>112</v>
      </c>
      <c r="E56" s="49" t="s">
        <v>56</v>
      </c>
      <c r="F56" s="32">
        <v>0.14000000000000001</v>
      </c>
      <c r="G56" s="17" t="s">
        <v>95</v>
      </c>
    </row>
    <row r="57" spans="2:7" x14ac:dyDescent="0.3">
      <c r="B57" s="17"/>
      <c r="C57" s="23" t="s">
        <v>97</v>
      </c>
      <c r="D57" s="23" t="s">
        <v>112</v>
      </c>
      <c r="E57" s="44" t="s">
        <v>56</v>
      </c>
      <c r="F57" s="32">
        <v>0.12</v>
      </c>
      <c r="G57" s="17"/>
    </row>
    <row r="58" spans="2:7" x14ac:dyDescent="0.3">
      <c r="B58" s="17"/>
      <c r="C58" s="23" t="s">
        <v>98</v>
      </c>
      <c r="D58" s="23" t="s">
        <v>112</v>
      </c>
      <c r="E58" s="44" t="s">
        <v>56</v>
      </c>
      <c r="F58" s="32">
        <v>0.12</v>
      </c>
      <c r="G58" s="23" t="s">
        <v>113</v>
      </c>
    </row>
    <row r="59" spans="2:7" x14ac:dyDescent="0.3">
      <c r="B59" s="17"/>
      <c r="C59" s="23" t="s">
        <v>99</v>
      </c>
      <c r="D59" s="23" t="s">
        <v>128</v>
      </c>
      <c r="E59" s="44" t="s">
        <v>56</v>
      </c>
      <c r="F59" s="32">
        <v>0.12</v>
      </c>
      <c r="G59" s="17"/>
    </row>
    <row r="60" spans="2:7" x14ac:dyDescent="0.3">
      <c r="B60" s="17"/>
      <c r="C60" s="23" t="s">
        <v>100</v>
      </c>
      <c r="D60" s="23" t="s">
        <v>2</v>
      </c>
      <c r="E60" s="44" t="s">
        <v>56</v>
      </c>
      <c r="F60" s="32">
        <v>0.12</v>
      </c>
      <c r="G60" s="17"/>
    </row>
    <row r="61" spans="2:7" x14ac:dyDescent="0.3">
      <c r="B61" s="17"/>
      <c r="C61" s="23" t="s">
        <v>107</v>
      </c>
      <c r="D61" s="23" t="s">
        <v>2</v>
      </c>
      <c r="E61" s="44" t="s">
        <v>56</v>
      </c>
      <c r="F61" s="32">
        <v>0.12</v>
      </c>
      <c r="G61" s="23" t="s">
        <v>109</v>
      </c>
    </row>
    <row r="62" spans="2:7" x14ac:dyDescent="0.3">
      <c r="B62" s="17"/>
      <c r="C62" s="23" t="s">
        <v>116</v>
      </c>
      <c r="D62" s="23" t="s">
        <v>117</v>
      </c>
      <c r="E62" s="44" t="s">
        <v>56</v>
      </c>
      <c r="F62" s="32">
        <v>0.12</v>
      </c>
      <c r="G62" s="23" t="s">
        <v>118</v>
      </c>
    </row>
    <row r="63" spans="2:7" x14ac:dyDescent="0.3">
      <c r="B63" s="17"/>
      <c r="C63" s="23" t="s">
        <v>126</v>
      </c>
      <c r="D63" s="23"/>
      <c r="E63" s="44" t="s">
        <v>133</v>
      </c>
      <c r="F63" s="32">
        <v>0.12</v>
      </c>
      <c r="G63" s="23"/>
    </row>
    <row r="64" spans="2:7" x14ac:dyDescent="0.3">
      <c r="B64" s="17"/>
      <c r="C64" s="23"/>
      <c r="D64" s="23"/>
      <c r="E64" s="44"/>
      <c r="F64" s="32"/>
      <c r="G64" s="23"/>
    </row>
    <row r="65" spans="2:7" x14ac:dyDescent="0.3">
      <c r="B65" s="21" t="s">
        <v>101</v>
      </c>
      <c r="C65" s="19"/>
      <c r="D65" s="19"/>
      <c r="E65" s="43">
        <f>SUMIF(E66:E69,"Done",F66:F69)</f>
        <v>1</v>
      </c>
      <c r="F65" s="24"/>
      <c r="G65" s="19"/>
    </row>
    <row r="66" spans="2:7" x14ac:dyDescent="0.3">
      <c r="B66" s="17"/>
      <c r="C66" s="23" t="s">
        <v>103</v>
      </c>
      <c r="D66" s="23" t="s">
        <v>1</v>
      </c>
      <c r="E66" s="49" t="s">
        <v>56</v>
      </c>
      <c r="F66" s="33">
        <v>0.25</v>
      </c>
      <c r="G66" s="17"/>
    </row>
    <row r="67" spans="2:7" x14ac:dyDescent="0.3">
      <c r="B67" s="17"/>
      <c r="C67" s="23" t="s">
        <v>104</v>
      </c>
      <c r="D67" s="23" t="s">
        <v>40</v>
      </c>
      <c r="E67" s="44" t="s">
        <v>56</v>
      </c>
      <c r="F67" s="33">
        <v>0.25</v>
      </c>
      <c r="G67" s="17"/>
    </row>
    <row r="68" spans="2:7" x14ac:dyDescent="0.3">
      <c r="B68" s="17"/>
      <c r="C68" s="23" t="s">
        <v>105</v>
      </c>
      <c r="D68" s="23" t="s">
        <v>92</v>
      </c>
      <c r="E68" s="44" t="s">
        <v>56</v>
      </c>
      <c r="F68" s="33">
        <v>0.25</v>
      </c>
      <c r="G68" s="17"/>
    </row>
    <row r="69" spans="2:7" x14ac:dyDescent="0.3">
      <c r="B69" s="17"/>
      <c r="C69" s="23" t="s">
        <v>106</v>
      </c>
      <c r="D69" s="23" t="s">
        <v>1</v>
      </c>
      <c r="E69" s="44" t="s">
        <v>56</v>
      </c>
      <c r="F69" s="33">
        <v>0.25</v>
      </c>
      <c r="G69" s="17"/>
    </row>
    <row r="70" spans="2:7" x14ac:dyDescent="0.3">
      <c r="B70" s="17"/>
      <c r="C70" s="17"/>
      <c r="D70" s="17"/>
      <c r="E70" s="51"/>
      <c r="F70" s="33"/>
      <c r="G70" s="17"/>
    </row>
    <row r="71" spans="2:7" x14ac:dyDescent="0.3">
      <c r="B71" s="21" t="s">
        <v>102</v>
      </c>
      <c r="C71" s="19"/>
      <c r="D71" s="19"/>
      <c r="E71" s="43">
        <f>SUMIF(E72:E73,"Done",F72:F73)</f>
        <v>1</v>
      </c>
      <c r="F71" s="24"/>
      <c r="G71" s="19"/>
    </row>
    <row r="72" spans="2:7" x14ac:dyDescent="0.3">
      <c r="B72" s="17"/>
      <c r="C72" s="23" t="s">
        <v>115</v>
      </c>
      <c r="D72" s="23" t="s">
        <v>1</v>
      </c>
      <c r="E72" s="49" t="s">
        <v>56</v>
      </c>
      <c r="F72" s="33">
        <v>0.5</v>
      </c>
      <c r="G72" s="17"/>
    </row>
    <row r="73" spans="2:7" x14ac:dyDescent="0.3">
      <c r="B73" s="17"/>
      <c r="C73" s="23" t="s">
        <v>114</v>
      </c>
      <c r="D73" s="23" t="s">
        <v>1</v>
      </c>
      <c r="E73" s="44" t="s">
        <v>56</v>
      </c>
      <c r="F73" s="33">
        <v>0.5</v>
      </c>
      <c r="G73" s="17"/>
    </row>
    <row r="74" spans="2:7" x14ac:dyDescent="0.3">
      <c r="B74" s="17"/>
      <c r="C74" s="17"/>
      <c r="D74" s="17"/>
      <c r="E74" s="48"/>
      <c r="F74" s="33"/>
      <c r="G74" s="17"/>
    </row>
    <row r="75" spans="2:7" x14ac:dyDescent="0.3">
      <c r="F75"/>
    </row>
    <row r="76" spans="2:7" x14ac:dyDescent="0.3">
      <c r="F76"/>
    </row>
    <row r="77" spans="2:7" x14ac:dyDescent="0.3">
      <c r="F77"/>
    </row>
    <row r="78" spans="2:7" x14ac:dyDescent="0.3">
      <c r="F78"/>
    </row>
    <row r="79" spans="2:7" x14ac:dyDescent="0.3">
      <c r="F79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F3C1-97AB-487F-B649-A50FE5815C35}">
  <dimension ref="A1:D20"/>
  <sheetViews>
    <sheetView workbookViewId="0">
      <selection activeCell="D14" sqref="D14"/>
    </sheetView>
  </sheetViews>
  <sheetFormatPr baseColWidth="10" defaultRowHeight="14.4" x14ac:dyDescent="0.3"/>
  <cols>
    <col min="2" max="2" width="27.33203125" customWidth="1"/>
    <col min="3" max="3" width="22.6640625" customWidth="1"/>
    <col min="4" max="4" width="23.21875" customWidth="1"/>
    <col min="6" max="6" width="23" customWidth="1"/>
  </cols>
  <sheetData>
    <row r="1" spans="1:4" x14ac:dyDescent="0.3">
      <c r="A1" t="s">
        <v>172</v>
      </c>
      <c r="B1" t="s">
        <v>173</v>
      </c>
      <c r="C1" t="s">
        <v>174</v>
      </c>
      <c r="D1" t="s">
        <v>149</v>
      </c>
    </row>
    <row r="2" spans="1:4" x14ac:dyDescent="0.3">
      <c r="A2">
        <v>1</v>
      </c>
      <c r="B2" s="58" t="s">
        <v>150</v>
      </c>
      <c r="C2" t="s">
        <v>166</v>
      </c>
      <c r="D2" t="s">
        <v>1</v>
      </c>
    </row>
    <row r="3" spans="1:4" x14ac:dyDescent="0.3">
      <c r="A3">
        <v>2</v>
      </c>
      <c r="B3" s="58" t="s">
        <v>151</v>
      </c>
      <c r="C3" t="s">
        <v>152</v>
      </c>
      <c r="D3" t="s">
        <v>1</v>
      </c>
    </row>
    <row r="4" spans="1:4" x14ac:dyDescent="0.3">
      <c r="A4">
        <v>2</v>
      </c>
      <c r="B4" s="58" t="s">
        <v>155</v>
      </c>
      <c r="C4" t="s">
        <v>167</v>
      </c>
      <c r="D4" t="s">
        <v>1</v>
      </c>
    </row>
    <row r="5" spans="1:4" x14ac:dyDescent="0.3">
      <c r="A5">
        <v>2</v>
      </c>
      <c r="B5" s="58" t="s">
        <v>176</v>
      </c>
      <c r="C5" t="s">
        <v>177</v>
      </c>
      <c r="D5" t="s">
        <v>153</v>
      </c>
    </row>
    <row r="6" spans="1:4" x14ac:dyDescent="0.3">
      <c r="A6">
        <v>2</v>
      </c>
      <c r="B6" s="58" t="s">
        <v>154</v>
      </c>
      <c r="C6" t="s">
        <v>168</v>
      </c>
      <c r="D6" t="s">
        <v>153</v>
      </c>
    </row>
    <row r="7" spans="1:4" x14ac:dyDescent="0.3">
      <c r="B7" s="58"/>
    </row>
    <row r="8" spans="1:4" x14ac:dyDescent="0.3">
      <c r="A8">
        <v>2</v>
      </c>
      <c r="B8" s="58" t="s">
        <v>158</v>
      </c>
      <c r="C8" t="s">
        <v>169</v>
      </c>
      <c r="D8" t="s">
        <v>1</v>
      </c>
    </row>
    <row r="9" spans="1:4" x14ac:dyDescent="0.3">
      <c r="A9">
        <v>3</v>
      </c>
      <c r="B9" s="58" t="s">
        <v>159</v>
      </c>
    </row>
    <row r="10" spans="1:4" x14ac:dyDescent="0.3">
      <c r="A10">
        <v>3</v>
      </c>
      <c r="B10" s="58" t="s">
        <v>160</v>
      </c>
      <c r="C10" t="s">
        <v>152</v>
      </c>
    </row>
    <row r="11" spans="1:4" x14ac:dyDescent="0.3">
      <c r="A11">
        <v>3</v>
      </c>
      <c r="B11" s="58" t="s">
        <v>161</v>
      </c>
      <c r="C11" t="s">
        <v>152</v>
      </c>
      <c r="D11" t="s">
        <v>1</v>
      </c>
    </row>
    <row r="12" spans="1:4" x14ac:dyDescent="0.3">
      <c r="B12" s="58"/>
    </row>
    <row r="13" spans="1:4" x14ac:dyDescent="0.3">
      <c r="A13">
        <v>2</v>
      </c>
      <c r="B13" s="58" t="s">
        <v>156</v>
      </c>
      <c r="C13" s="58" t="s">
        <v>181</v>
      </c>
      <c r="D13" t="s">
        <v>157</v>
      </c>
    </row>
    <row r="14" spans="1:4" x14ac:dyDescent="0.3">
      <c r="A14">
        <v>3</v>
      </c>
      <c r="B14" s="58" t="s">
        <v>179</v>
      </c>
      <c r="C14" t="s">
        <v>152</v>
      </c>
      <c r="D14" t="s">
        <v>180</v>
      </c>
    </row>
    <row r="15" spans="1:4" x14ac:dyDescent="0.3">
      <c r="A15">
        <v>3</v>
      </c>
      <c r="B15" s="58" t="s">
        <v>178</v>
      </c>
      <c r="C15" t="s">
        <v>152</v>
      </c>
      <c r="D15" t="s">
        <v>180</v>
      </c>
    </row>
    <row r="16" spans="1:4" x14ac:dyDescent="0.3">
      <c r="A16">
        <v>3</v>
      </c>
      <c r="B16" s="58" t="s">
        <v>183</v>
      </c>
      <c r="C16" t="s">
        <v>152</v>
      </c>
      <c r="D16" t="s">
        <v>157</v>
      </c>
    </row>
    <row r="17" spans="1:4" x14ac:dyDescent="0.3">
      <c r="B17" s="58"/>
    </row>
    <row r="18" spans="1:4" x14ac:dyDescent="0.3">
      <c r="A18">
        <v>2</v>
      </c>
      <c r="B18" s="58" t="s">
        <v>163</v>
      </c>
      <c r="C18" t="s">
        <v>182</v>
      </c>
      <c r="D18" t="s">
        <v>2</v>
      </c>
    </row>
    <row r="19" spans="1:4" x14ac:dyDescent="0.3">
      <c r="A19">
        <v>3</v>
      </c>
      <c r="B19" s="58" t="s">
        <v>164</v>
      </c>
      <c r="C19" s="58" t="s">
        <v>170</v>
      </c>
      <c r="D19" t="s">
        <v>162</v>
      </c>
    </row>
    <row r="20" spans="1:4" x14ac:dyDescent="0.3">
      <c r="A20">
        <v>3</v>
      </c>
      <c r="B20" s="58" t="s">
        <v>165</v>
      </c>
      <c r="C20" s="58" t="s">
        <v>171</v>
      </c>
      <c r="D20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RACI</vt:lpstr>
      <vt:lpstr>Weekly</vt:lpstr>
      <vt:lpstr>Gestion des fichiers</vt:lpstr>
      <vt:lpstr>Code Labview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2019-05-21T10:04:55Z</dcterms:modified>
</cp:coreProperties>
</file>
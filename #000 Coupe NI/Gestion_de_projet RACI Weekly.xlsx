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s\ROBOT NI CONTEST\robotni\#000 Coupe NI\"/>
    </mc:Choice>
  </mc:AlternateContent>
  <xr:revisionPtr revIDLastSave="0" documentId="13_ncr:1_{9234464C-36CA-49A6-9E0D-08446F404540}" xr6:coauthVersionLast="43" xr6:coauthVersionMax="43" xr10:uidLastSave="{00000000-0000-0000-0000-000000000000}"/>
  <bookViews>
    <workbookView xWindow="-108" yWindow="-108" windowWidth="23256" windowHeight="12720" tabRatio="705" activeTab="3" xr2:uid="{DA5DF307-7034-4F4E-90E0-F0D7D509C38B}"/>
  </bookViews>
  <sheets>
    <sheet name="RACI" sheetId="2" r:id="rId1"/>
    <sheet name="Weekly" sheetId="1" r:id="rId2"/>
    <sheet name="Gestion des fichiers" sheetId="3" r:id="rId3"/>
    <sheet name="Code Labvie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0" i="3" l="1"/>
  <c r="E42" i="3"/>
  <c r="E34" i="3"/>
  <c r="E10" i="3" l="1"/>
  <c r="E18" i="3" l="1"/>
  <c r="E55" i="3"/>
  <c r="E15" i="3" l="1"/>
  <c r="E52" i="3"/>
  <c r="E71" i="3"/>
  <c r="E65" i="3" l="1"/>
  <c r="C6" i="3" s="1"/>
  <c r="E48" i="3" l="1"/>
  <c r="E26" i="3" l="1"/>
  <c r="E22" i="3"/>
  <c r="C5" i="3" l="1"/>
  <c r="C4" i="3" s="1"/>
</calcChain>
</file>

<file path=xl/sharedStrings.xml><?xml version="1.0" encoding="utf-8"?>
<sst xmlns="http://schemas.openxmlformats.org/spreadsheetml/2006/main" count="370" uniqueCount="184">
  <si>
    <t xml:space="preserve">Semaine </t>
  </si>
  <si>
    <t>Jason PUEL</t>
  </si>
  <si>
    <t>Justin Furio</t>
  </si>
  <si>
    <t>Christian Margolis</t>
  </si>
  <si>
    <t>Doc Labview</t>
  </si>
  <si>
    <t>Boitier Raspberry, Bras de robot</t>
  </si>
  <si>
    <t>HP-LCD (reprise code)</t>
  </si>
  <si>
    <t>mesure PCB</t>
  </si>
  <si>
    <t>Doc Raspberry</t>
  </si>
  <si>
    <t>vacances</t>
  </si>
  <si>
    <t>Rattrapage</t>
  </si>
  <si>
    <t>Desgn laser trieurs de balles</t>
  </si>
  <si>
    <t>Engrenage (non concluant)</t>
  </si>
  <si>
    <t>Nouvel arrivant</t>
  </si>
  <si>
    <t>Inpretion Bras robot</t>
  </si>
  <si>
    <t>Modélisition du Bras</t>
  </si>
  <si>
    <t>Acceil des M1</t>
  </si>
  <si>
    <t xml:space="preserve">Doc Labview + Réinpétion du bras </t>
  </si>
  <si>
    <t>Recherche Bars Découpe laser</t>
  </si>
  <si>
    <t>Engrenage (recherche)</t>
  </si>
  <si>
    <t>HP-LCD (Fonctionnel)</t>
  </si>
  <si>
    <t>Péparation Présentation</t>
  </si>
  <si>
    <t>Objectif: JPO</t>
  </si>
  <si>
    <t>Bras de robot</t>
  </si>
  <si>
    <t>Raspberry (PLUG and PLAY)</t>
  </si>
  <si>
    <t>Nouvelles taches</t>
  </si>
  <si>
    <t>nouvelles taches</t>
  </si>
  <si>
    <t>Boitier raspberry V2</t>
  </si>
  <si>
    <t>Gitkraken</t>
  </si>
  <si>
    <t>JPO</t>
  </si>
  <si>
    <t>Workshope</t>
  </si>
  <si>
    <t>Taiga</t>
  </si>
  <si>
    <t>Présentation SHES</t>
  </si>
  <si>
    <t>Proct Report</t>
  </si>
  <si>
    <t>Software</t>
  </si>
  <si>
    <t>Electronic</t>
  </si>
  <si>
    <t>Mecanic</t>
  </si>
  <si>
    <t>R&amp;D</t>
  </si>
  <si>
    <t>Tutor-School</t>
  </si>
  <si>
    <t>M2</t>
  </si>
  <si>
    <t>Florian Guigal</t>
  </si>
  <si>
    <t>A</t>
  </si>
  <si>
    <t>I</t>
  </si>
  <si>
    <t>R</t>
  </si>
  <si>
    <t>C</t>
  </si>
  <si>
    <t>Projct Deliverable</t>
  </si>
  <si>
    <t>S</t>
  </si>
  <si>
    <t>Responsible</t>
  </si>
  <si>
    <t>Accountable</t>
  </si>
  <si>
    <t>Consulted</t>
  </si>
  <si>
    <t>Informed</t>
  </si>
  <si>
    <t>Signing</t>
  </si>
  <si>
    <t>Partie Projet</t>
  </si>
  <si>
    <t>Etat</t>
  </si>
  <si>
    <t>PBS système : Product Breakdown Structure</t>
  </si>
  <si>
    <t>Responsable(s)</t>
  </si>
  <si>
    <t>Done</t>
  </si>
  <si>
    <t>Teste/Reparation du raspberry</t>
  </si>
  <si>
    <t>Freez</t>
  </si>
  <si>
    <t>Avencement du Projet</t>
  </si>
  <si>
    <t>Sous taches</t>
  </si>
  <si>
    <t>#000 - Coup NI</t>
  </si>
  <si>
    <t xml:space="preserve">Valeur tache </t>
  </si>
  <si>
    <t>azelarab boukhchen</t>
  </si>
  <si>
    <t>Commentaire</t>
  </si>
  <si>
    <t>Avancement</t>
  </si>
  <si>
    <t>#200 - Raspberry JPO</t>
  </si>
  <si>
    <t>#010 - Gestion de Projet</t>
  </si>
  <si>
    <t>#020 - Régles Coupe NI</t>
  </si>
  <si>
    <t>#110 - Programme LabView</t>
  </si>
  <si>
    <t>#120 - Suiveur de Ligne</t>
  </si>
  <si>
    <t>#130 - Bras Robot</t>
  </si>
  <si>
    <t>#140 - Lanceur de Balles</t>
  </si>
  <si>
    <t>#150 - Trieur de Balles</t>
  </si>
  <si>
    <t>#160 - PCB</t>
  </si>
  <si>
    <t>#170 - Lidar</t>
  </si>
  <si>
    <t>#210 - Programmation Raspberry</t>
  </si>
  <si>
    <t>#011 - Taiga</t>
  </si>
  <si>
    <t>#012 - Gestion du Git</t>
  </si>
  <si>
    <t xml:space="preserve">#111 - Code Concour </t>
  </si>
  <si>
    <t>#121 - Datasheet et Composant</t>
  </si>
  <si>
    <t>#122 - Model 3D</t>
  </si>
  <si>
    <t>#131 - Datasheet</t>
  </si>
  <si>
    <t>#132 - Model 3D</t>
  </si>
  <si>
    <t>#141 - Datasheet et Composant</t>
  </si>
  <si>
    <t>#142 - Model 3D</t>
  </si>
  <si>
    <t>#151 - Datasheet et Composant</t>
  </si>
  <si>
    <t>#152 - Model 3D</t>
  </si>
  <si>
    <t>#153 - Découpe Laser</t>
  </si>
  <si>
    <t>#161 - Datasheet et Composant</t>
  </si>
  <si>
    <t>#171 - Datasheet et Composant</t>
  </si>
  <si>
    <t>#172 - Instalation</t>
  </si>
  <si>
    <t>Christan MARGOLIS</t>
  </si>
  <si>
    <t>Nicolas COURT</t>
  </si>
  <si>
    <t>#014 - Weekly Report</t>
  </si>
  <si>
    <t xml:space="preserve">Penser a faire des sauve gard réguliere </t>
  </si>
  <si>
    <t>#211 - Instalation de Raspbian</t>
  </si>
  <si>
    <t>#212 - Connection SSH</t>
  </si>
  <si>
    <t>#213 - Code Caméra</t>
  </si>
  <si>
    <t>#214 - Haut Parleur</t>
  </si>
  <si>
    <t>#215 - LCD</t>
  </si>
  <si>
    <t>#220 - Electronique</t>
  </si>
  <si>
    <t>#230 - Boitier Raspberry</t>
  </si>
  <si>
    <t>#221 - Datasheet et Composant</t>
  </si>
  <si>
    <t>#222 - Caméra</t>
  </si>
  <si>
    <t xml:space="preserve">#223 - Haut Parleur </t>
  </si>
  <si>
    <t>#224 - LCD</t>
  </si>
  <si>
    <t>#216 - IP static - Peneque</t>
  </si>
  <si>
    <t>#100 - Robot NI</t>
  </si>
  <si>
    <t>Demander a Willi du sevice info + designier responsable</t>
  </si>
  <si>
    <t>Passation</t>
  </si>
  <si>
    <t>absent</t>
  </si>
  <si>
    <t>Justin Furio / Florian Guigal</t>
  </si>
  <si>
    <t xml:space="preserve">Fonctionnel, voir amelioration </t>
  </si>
  <si>
    <t>#252 - Découpe Laser</t>
  </si>
  <si>
    <t>#251 - Datasheet et Composant</t>
  </si>
  <si>
    <t>#217 - Sauvegarde</t>
  </si>
  <si>
    <t xml:space="preserve">Justin Furio </t>
  </si>
  <si>
    <t>Faite de 8/03/2019</t>
  </si>
  <si>
    <t>Ce module est independant des autres</t>
  </si>
  <si>
    <t>#180 - Structure Robot</t>
  </si>
  <si>
    <t>Etude du code  LabView</t>
  </si>
  <si>
    <t>Recréation du GIT + Gestion de fichiers</t>
  </si>
  <si>
    <t>MAJ Boitier raspberry V2 + Gestion de fichiers</t>
  </si>
  <si>
    <t xml:space="preserve">Gertion de fichiers + Ajout de Documentation </t>
  </si>
  <si>
    <t>Teste du raspberry +</t>
  </si>
  <si>
    <t xml:space="preserve">#218 - Automatisation </t>
  </si>
  <si>
    <t>Jason PUEL / Florian Guigal</t>
  </si>
  <si>
    <t>Justin Furio / Jason PUEL</t>
  </si>
  <si>
    <t>Florian Guigal / Jason PUEL</t>
  </si>
  <si>
    <t>Résolution de probleme sur GitKraken</t>
  </si>
  <si>
    <t>Update  Code LabVIew</t>
  </si>
  <si>
    <t>recherche et documentation</t>
  </si>
  <si>
    <t>Testing</t>
  </si>
  <si>
    <t>#181 - Découpe Laser</t>
  </si>
  <si>
    <t>IMPORTANT: ABSENCE DE REGLES NI</t>
  </si>
  <si>
    <t>Rebuild</t>
  </si>
  <si>
    <t>Quentin BAUDIN -&gt; Jason PUEL</t>
  </si>
  <si>
    <t>PCB V3</t>
  </si>
  <si>
    <t>Testing  Code LabVIew</t>
  </si>
  <si>
    <t>#155 - Moteur trap</t>
  </si>
  <si>
    <t>#156 - Moteur manege</t>
  </si>
  <si>
    <t>#154 - Diode Détecteur couleur</t>
  </si>
  <si>
    <t>#112 - Sénario JPO: Lidar</t>
  </si>
  <si>
    <t>Tout le monde</t>
  </si>
  <si>
    <t>#164 - Faire imprimer</t>
  </si>
  <si>
    <t xml:space="preserve">Analise </t>
  </si>
  <si>
    <t>Attente de la fin de l'analise</t>
  </si>
  <si>
    <t>#162 - Correction et amelioration</t>
  </si>
  <si>
    <t>#163 - Eagle</t>
  </si>
  <si>
    <t>Responsable</t>
  </si>
  <si>
    <t>Main_RT_V2</t>
  </si>
  <si>
    <t>Sous_VI_Avancer</t>
  </si>
  <si>
    <t>non</t>
  </si>
  <si>
    <t>Jason PUEL et Justin Furio</t>
  </si>
  <si>
    <t>Sous_VI_RT_recule</t>
  </si>
  <si>
    <t>Sous_VI_RT_Virage</t>
  </si>
  <si>
    <t>Sous_VI_RT_Sceaux</t>
  </si>
  <si>
    <t>Sous_VI_RT_trieur-balles</t>
  </si>
  <si>
    <t>Florian GUIGAL et Justin Furio</t>
  </si>
  <si>
    <t>Sous_VI_Bras</t>
  </si>
  <si>
    <t>Sous_VI_acp_ligne</t>
  </si>
  <si>
    <t>Sous_VI_correction</t>
  </si>
  <si>
    <t>Sous_VI_moteurs</t>
  </si>
  <si>
    <t>Moteur_trieur_balle_adrien</t>
  </si>
  <si>
    <t>Adrien</t>
  </si>
  <si>
    <t>trieur_trappe</t>
  </si>
  <si>
    <t>trieur_Couleur</t>
  </si>
  <si>
    <t>Sous_VI_RT_Lanceur</t>
  </si>
  <si>
    <t>Sous_VI_distributeur_lanceur</t>
  </si>
  <si>
    <t>Sous_VI_moteur_roue_lanceur</t>
  </si>
  <si>
    <t>enum_Main_RT_V2</t>
  </si>
  <si>
    <t>enum_RT_Virage</t>
  </si>
  <si>
    <t>enum_RT_Sceaux</t>
  </si>
  <si>
    <t>enum_RT_recule</t>
  </si>
  <si>
    <t>enum_RT_bras</t>
  </si>
  <si>
    <t>enum_VI_RT_trieur-balles</t>
  </si>
  <si>
    <t>enum_lanceur</t>
  </si>
  <si>
    <t>enum_distributeur_lanceur</t>
  </si>
  <si>
    <t>enum_moteur_lanceur</t>
  </si>
  <si>
    <t>niveau :</t>
  </si>
  <si>
    <t>nom du VI</t>
  </si>
  <si>
    <t>Enum associé</t>
  </si>
  <si>
    <t>Préparation 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</si>
</sst>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" fillId="16" borderId="2" applyNumberFormat="0" applyAlignment="0" applyProtection="0"/>
    <xf numFmtId="0" fontId="4" fillId="17" borderId="0" applyNumberFormat="0" applyBorder="0" applyAlignment="0" applyProtection="0"/>
  </cellStyleXfs>
  <cellXfs count="61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0" xfId="0" applyFill="1"/>
    <xf numFmtId="0" fontId="1" fillId="10" borderId="0" xfId="3"/>
    <xf numFmtId="0" fontId="1" fillId="12" borderId="0" xfId="5"/>
    <xf numFmtId="0" fontId="1" fillId="14" borderId="0" xfId="7"/>
    <xf numFmtId="0" fontId="1" fillId="13" borderId="0" xfId="6"/>
    <xf numFmtId="0" fontId="1" fillId="15" borderId="0" xfId="8"/>
    <xf numFmtId="0" fontId="1" fillId="11" borderId="0" xfId="4"/>
    <xf numFmtId="0" fontId="0" fillId="15" borderId="0" xfId="8" applyFont="1"/>
    <xf numFmtId="9" fontId="1" fillId="13" borderId="0" xfId="1" applyFill="1"/>
    <xf numFmtId="0" fontId="0" fillId="14" borderId="0" xfId="7" applyFont="1"/>
    <xf numFmtId="9" fontId="1" fillId="15" borderId="0" xfId="1" applyFill="1"/>
    <xf numFmtId="0" fontId="2" fillId="0" borderId="0" xfId="2" applyAlignment="1">
      <alignment horizontal="center"/>
    </xf>
    <xf numFmtId="9" fontId="0" fillId="0" borderId="0" xfId="1" applyFont="1"/>
    <xf numFmtId="0" fontId="3" fillId="16" borderId="2" xfId="9" applyAlignment="1">
      <alignment horizontal="center"/>
    </xf>
    <xf numFmtId="9" fontId="1" fillId="11" borderId="0" xfId="1" applyFill="1"/>
    <xf numFmtId="0" fontId="0" fillId="10" borderId="0" xfId="3" applyFont="1"/>
    <xf numFmtId="9" fontId="1" fillId="10" borderId="0" xfId="1" applyFill="1"/>
    <xf numFmtId="9" fontId="1" fillId="12" borderId="0" xfId="1" applyFill="1"/>
    <xf numFmtId="9" fontId="1" fillId="14" borderId="0" xfId="1" applyFill="1"/>
    <xf numFmtId="9" fontId="1" fillId="14" borderId="0" xfId="7" applyNumberFormat="1"/>
    <xf numFmtId="0" fontId="0" fillId="12" borderId="0" xfId="5" applyFont="1"/>
    <xf numFmtId="0" fontId="0" fillId="13" borderId="0" xfId="6" applyFont="1"/>
    <xf numFmtId="0" fontId="0" fillId="11" borderId="0" xfId="4" applyFont="1"/>
    <xf numFmtId="9" fontId="1" fillId="10" borderId="0" xfId="3" applyNumberFormat="1"/>
    <xf numFmtId="0" fontId="1" fillId="10" borderId="0" xfId="3" applyAlignment="1">
      <alignment horizontal="center"/>
    </xf>
    <xf numFmtId="9" fontId="1" fillId="11" borderId="0" xfId="4" applyNumberFormat="1" applyAlignment="1">
      <alignment horizontal="center"/>
    </xf>
    <xf numFmtId="0" fontId="1" fillId="12" borderId="0" xfId="5" applyAlignment="1">
      <alignment horizontal="center"/>
    </xf>
    <xf numFmtId="9" fontId="1" fillId="13" borderId="0" xfId="6" applyNumberFormat="1" applyAlignment="1">
      <alignment horizontal="center"/>
    </xf>
    <xf numFmtId="9" fontId="1" fillId="13" borderId="0" xfId="1" applyFill="1" applyAlignment="1">
      <alignment horizontal="center"/>
    </xf>
    <xf numFmtId="9" fontId="1" fillId="15" borderId="0" xfId="8" applyNumberFormat="1" applyAlignment="1">
      <alignment horizontal="center"/>
    </xf>
    <xf numFmtId="0" fontId="0" fillId="14" borderId="0" xfId="7" applyFont="1" applyAlignment="1">
      <alignment horizontal="center"/>
    </xf>
    <xf numFmtId="9" fontId="1" fillId="11" borderId="0" xfId="1" applyFill="1" applyAlignment="1">
      <alignment horizontal="center"/>
    </xf>
    <xf numFmtId="0" fontId="0" fillId="12" borderId="0" xfId="5" applyFont="1" applyAlignment="1">
      <alignment horizontal="center"/>
    </xf>
    <xf numFmtId="0" fontId="0" fillId="10" borderId="0" xfId="3" applyFont="1" applyAlignment="1">
      <alignment horizontal="center"/>
    </xf>
    <xf numFmtId="9" fontId="1" fillId="14" borderId="0" xfId="7" applyNumberFormat="1" applyAlignment="1">
      <alignment horizontal="center"/>
    </xf>
    <xf numFmtId="9" fontId="0" fillId="14" borderId="0" xfId="7" applyNumberFormat="1" applyFont="1" applyAlignment="1">
      <alignment horizontal="center"/>
    </xf>
    <xf numFmtId="9" fontId="1" fillId="12" borderId="0" xfId="5" applyNumberFormat="1"/>
    <xf numFmtId="0" fontId="1" fillId="14" borderId="0" xfId="7" applyAlignment="1">
      <alignment horizontal="center"/>
    </xf>
    <xf numFmtId="0" fontId="4" fillId="17" borderId="0" xfId="10"/>
    <xf numFmtId="9" fontId="1" fillId="13" borderId="0" xfId="6" applyNumberFormat="1"/>
    <xf numFmtId="9" fontId="0" fillId="10" borderId="0" xfId="3" applyNumberFormat="1" applyFont="1" applyAlignment="1">
      <alignment horizontal="center"/>
    </xf>
    <xf numFmtId="0" fontId="5" fillId="4" borderId="0" xfId="0" applyFont="1" applyFill="1"/>
    <xf numFmtId="0" fontId="0" fillId="18" borderId="0" xfId="0" applyFill="1"/>
    <xf numFmtId="0" fontId="0" fillId="0" borderId="0" xfId="0" applyFill="1"/>
    <xf numFmtId="0" fontId="2" fillId="0" borderId="0" xfId="2" applyAlignment="1">
      <alignment horizontal="center" vertical="center"/>
    </xf>
    <xf numFmtId="0" fontId="2" fillId="0" borderId="0" xfId="2" applyAlignment="1">
      <alignment horizontal="center"/>
    </xf>
    <xf numFmtId="0" fontId="6" fillId="0" borderId="0" xfId="0" applyFont="1"/>
  </cellXfs>
  <cellStyles count="11">
    <cellStyle name="20 % - Accent1" xfId="3" builtinId="30"/>
    <cellStyle name="20 % - Accent2" xfId="5" builtinId="34"/>
    <cellStyle name="20 % - Accent6" xfId="7" builtinId="50"/>
    <cellStyle name="40 % - Accent1" xfId="4" builtinId="31"/>
    <cellStyle name="40 % - Accent2" xfId="6" builtinId="35"/>
    <cellStyle name="40 % - Accent6" xfId="8" builtinId="51"/>
    <cellStyle name="Accent1" xfId="10" builtinId="29"/>
    <cellStyle name="Normal" xfId="0" builtinId="0"/>
    <cellStyle name="Pourcentage" xfId="1" builtinId="5"/>
    <cellStyle name="Sortie" xfId="9" builtinId="21"/>
    <cellStyle name="Titre" xfId="2" builtinId="15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7652E-2630-4B8E-B56B-C786CB2D8DAF}" name="Tableau1" displayName="Tableau1" ref="B4:H14" totalsRowShown="0">
  <autoFilter ref="B4:H14" xr:uid="{57789493-0CFE-4C8B-B134-794AAB4455D7}"/>
  <tableColumns count="7">
    <tableColumn id="1" xr3:uid="{B5C61211-716E-42C5-9DE6-466DDA6D731D}" name="Projct Deliverable"/>
    <tableColumn id="2" xr3:uid="{AE7D0036-E26F-4383-BE31-4D61701C2581}" name="Tutor-School"/>
    <tableColumn id="3" xr3:uid="{55BA4C91-C8F0-4740-BCA9-28543038AF28}" name="M2"/>
    <tableColumn id="4" xr3:uid="{BA9A1C59-C68C-45C0-991C-2AAF0D3A21E3}" name="Jason PUEL"/>
    <tableColumn id="5" xr3:uid="{9EE6BD8A-FC26-4EC5-BC25-D38C2427610E}" name="Christian Margolis"/>
    <tableColumn id="6" xr3:uid="{3CE41BDB-D626-4C47-B513-96A9A5463090}" name="Justin Furio"/>
    <tableColumn id="7" xr3:uid="{9E51A41B-E6F5-4614-BE66-1D8B284E4077}" name="Florian Guigal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F8ADCA-7BE8-4A17-965F-3A7BAA9A6A31}" name="Tableau2" displayName="Tableau2" ref="B9:G74" totalsRowShown="0">
  <autoFilter ref="B9:G74" xr:uid="{5E9D7C67-1BBD-465F-A208-D11E9B7D938B}"/>
  <tableColumns count="6">
    <tableColumn id="1" xr3:uid="{331D23FA-9A32-4E23-A796-24563384C5B8}" name="Partie Projet"/>
    <tableColumn id="2" xr3:uid="{73E2A53B-9F6D-48BD-9CD1-4D3FFFEEA257}" name="Sous taches"/>
    <tableColumn id="4" xr3:uid="{93AD3B34-FA64-4226-BAD5-7CBF16258DD8}" name="Responsable(s)"/>
    <tableColumn id="3" xr3:uid="{6A42FAAF-B60A-4CAB-BCB8-7244319101BC}" name="Etat" dataDxfId="2"/>
    <tableColumn id="5" xr3:uid="{1B3FAAD3-2E4E-4C84-834A-7D85B38A09BF}" name="Valeur tache " dataCellStyle="Pourcentage"/>
    <tableColumn id="6" xr3:uid="{FC3DD434-360B-41C6-87B9-9C7AA3ED4F72}" name="Commentai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34A6B6-6CB4-4E0A-BCEA-2089E7E950E6}" name="Tableau3" displayName="Tableau3" ref="B3:D6" totalsRowShown="0" headerRowDxfId="1" headerRowCellStyle="Sortie">
  <autoFilter ref="B3:D6" xr:uid="{F68388F4-7AF2-46C9-9F3D-5B6FB6A3583F}"/>
  <tableColumns count="3">
    <tableColumn id="1" xr3:uid="{B24EF4DC-0449-4D7C-B6D1-AD67F1EB1847}" name="Partie Projet"/>
    <tableColumn id="2" xr3:uid="{5B9C8384-A232-4497-AFB1-523404CB07E9}" name="Avancement" dataDxfId="0"/>
    <tableColumn id="3" xr3:uid="{AD756423-FDDB-4E31-9470-A3C6381D23D2}" name="Commen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35F8-C2A1-4A6B-AA0B-6756C7080F68}">
  <sheetPr codeName="Feuil1"/>
  <dimension ref="B4:H21"/>
  <sheetViews>
    <sheetView showGridLines="0" workbookViewId="0">
      <pane xSplit="2" topLeftCell="D1" activePane="topRight" state="frozen"/>
      <selection pane="topRight" activeCell="I24" sqref="I24"/>
    </sheetView>
  </sheetViews>
  <sheetFormatPr baseColWidth="10" defaultRowHeight="14.4" x14ac:dyDescent="0.3"/>
  <cols>
    <col min="2" max="2" width="16" customWidth="1"/>
    <col min="3" max="3" width="14.44140625" customWidth="1"/>
    <col min="4" max="4" width="11.5546875" customWidth="1"/>
    <col min="5" max="5" width="16.5546875" customWidth="1"/>
    <col min="6" max="6" width="15.77734375" customWidth="1"/>
    <col min="7" max="7" width="15.6640625" customWidth="1"/>
    <col min="8" max="8" width="15.33203125" customWidth="1"/>
  </cols>
  <sheetData>
    <row r="4" spans="2:8" x14ac:dyDescent="0.3">
      <c r="B4" t="s">
        <v>45</v>
      </c>
      <c r="C4" t="s">
        <v>38</v>
      </c>
      <c r="D4" t="s">
        <v>39</v>
      </c>
      <c r="E4" t="s">
        <v>1</v>
      </c>
      <c r="F4" t="s">
        <v>3</v>
      </c>
      <c r="G4" t="s">
        <v>2</v>
      </c>
      <c r="H4" t="s">
        <v>40</v>
      </c>
    </row>
    <row r="5" spans="2:8" x14ac:dyDescent="0.3">
      <c r="B5" t="s">
        <v>28</v>
      </c>
      <c r="C5" s="5"/>
      <c r="D5" s="6" t="s">
        <v>43</v>
      </c>
      <c r="E5" s="8" t="s">
        <v>42</v>
      </c>
      <c r="F5" s="8" t="s">
        <v>42</v>
      </c>
      <c r="G5" s="8" t="s">
        <v>42</v>
      </c>
      <c r="H5" s="8" t="s">
        <v>42</v>
      </c>
    </row>
    <row r="6" spans="2:8" x14ac:dyDescent="0.3">
      <c r="B6" t="s">
        <v>29</v>
      </c>
      <c r="C6" s="10" t="s">
        <v>41</v>
      </c>
      <c r="D6" s="6" t="s">
        <v>43</v>
      </c>
      <c r="E6" s="6" t="s">
        <v>43</v>
      </c>
      <c r="F6" s="6" t="s">
        <v>43</v>
      </c>
      <c r="G6" s="6" t="s">
        <v>43</v>
      </c>
      <c r="H6" s="5"/>
    </row>
    <row r="7" spans="2:8" x14ac:dyDescent="0.3">
      <c r="B7" t="s">
        <v>30</v>
      </c>
      <c r="C7" s="10" t="s">
        <v>41</v>
      </c>
      <c r="D7" s="6" t="s">
        <v>43</v>
      </c>
      <c r="E7" s="12" t="s">
        <v>44</v>
      </c>
      <c r="F7" s="12" t="s">
        <v>44</v>
      </c>
      <c r="G7" s="5"/>
      <c r="H7" s="8" t="s">
        <v>42</v>
      </c>
    </row>
    <row r="8" spans="2:8" x14ac:dyDescent="0.3">
      <c r="B8" t="s">
        <v>31</v>
      </c>
      <c r="C8" s="8" t="s">
        <v>42</v>
      </c>
      <c r="D8" s="10" t="s">
        <v>41</v>
      </c>
      <c r="E8" s="8" t="s">
        <v>42</v>
      </c>
      <c r="F8" s="8" t="s">
        <v>42</v>
      </c>
      <c r="G8" s="8" t="s">
        <v>42</v>
      </c>
      <c r="H8" s="8" t="s">
        <v>42</v>
      </c>
    </row>
    <row r="9" spans="2:8" x14ac:dyDescent="0.3">
      <c r="B9" t="s">
        <v>32</v>
      </c>
      <c r="C9" s="10" t="s">
        <v>41</v>
      </c>
      <c r="D9" s="6" t="s">
        <v>43</v>
      </c>
      <c r="E9" s="6" t="s">
        <v>43</v>
      </c>
      <c r="F9" s="6" t="s">
        <v>43</v>
      </c>
      <c r="G9" s="6" t="s">
        <v>43</v>
      </c>
      <c r="H9" s="8" t="s">
        <v>42</v>
      </c>
    </row>
    <row r="10" spans="2:8" x14ac:dyDescent="0.3">
      <c r="B10" t="s">
        <v>33</v>
      </c>
      <c r="C10" s="5"/>
      <c r="D10" s="10" t="s">
        <v>41</v>
      </c>
      <c r="E10" s="8" t="s">
        <v>42</v>
      </c>
      <c r="F10" s="8" t="s">
        <v>42</v>
      </c>
      <c r="G10" s="8" t="s">
        <v>42</v>
      </c>
      <c r="H10" s="5"/>
    </row>
    <row r="11" spans="2:8" x14ac:dyDescent="0.3">
      <c r="B11" t="s">
        <v>34</v>
      </c>
      <c r="C11" s="5"/>
      <c r="D11" s="6" t="s">
        <v>43</v>
      </c>
      <c r="E11" s="8" t="s">
        <v>42</v>
      </c>
      <c r="F11" s="6" t="s">
        <v>43</v>
      </c>
      <c r="G11" s="6" t="s">
        <v>43</v>
      </c>
      <c r="H11" s="5"/>
    </row>
    <row r="12" spans="2:8" x14ac:dyDescent="0.3">
      <c r="B12" t="s">
        <v>35</v>
      </c>
      <c r="C12" s="5"/>
      <c r="D12" s="6" t="s">
        <v>43</v>
      </c>
      <c r="E12" s="8" t="s">
        <v>42</v>
      </c>
      <c r="F12" s="6" t="s">
        <v>43</v>
      </c>
      <c r="G12" s="6" t="s">
        <v>43</v>
      </c>
      <c r="H12" s="5"/>
    </row>
    <row r="13" spans="2:8" x14ac:dyDescent="0.3">
      <c r="B13" t="s">
        <v>36</v>
      </c>
      <c r="C13" s="5"/>
      <c r="D13" s="6" t="s">
        <v>43</v>
      </c>
      <c r="E13" s="6" t="s">
        <v>43</v>
      </c>
      <c r="F13" s="8" t="s">
        <v>42</v>
      </c>
      <c r="G13" s="8" t="s">
        <v>42</v>
      </c>
      <c r="H13" s="5"/>
    </row>
    <row r="14" spans="2:8" x14ac:dyDescent="0.3">
      <c r="B14" t="s">
        <v>37</v>
      </c>
      <c r="C14" s="8" t="s">
        <v>42</v>
      </c>
      <c r="D14" s="8" t="s">
        <v>42</v>
      </c>
      <c r="E14" s="5"/>
      <c r="F14" s="5"/>
      <c r="G14" s="5"/>
      <c r="H14" s="5"/>
    </row>
    <row r="17" spans="3:4" x14ac:dyDescent="0.3">
      <c r="C17" s="7" t="s">
        <v>43</v>
      </c>
      <c r="D17" t="s">
        <v>47</v>
      </c>
    </row>
    <row r="18" spans="3:4" x14ac:dyDescent="0.3">
      <c r="C18" s="11" t="s">
        <v>41</v>
      </c>
      <c r="D18" t="s">
        <v>48</v>
      </c>
    </row>
    <row r="19" spans="3:4" x14ac:dyDescent="0.3">
      <c r="C19" s="13" t="s">
        <v>44</v>
      </c>
      <c r="D19" t="s">
        <v>49</v>
      </c>
    </row>
    <row r="20" spans="3:4" x14ac:dyDescent="0.3">
      <c r="C20" s="9" t="s">
        <v>42</v>
      </c>
      <c r="D20" t="s">
        <v>50</v>
      </c>
    </row>
    <row r="21" spans="3:4" x14ac:dyDescent="0.3">
      <c r="C21" s="5" t="s">
        <v>46</v>
      </c>
      <c r="D21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ADE7-BE37-4A6E-A5BE-B763B36190AE}">
  <sheetPr codeName="Feuil2"/>
  <dimension ref="A1:AF11"/>
  <sheetViews>
    <sheetView workbookViewId="0">
      <pane xSplit="1" topLeftCell="S1" activePane="topRight" state="frozen"/>
      <selection pane="topRight" activeCell="AF1" sqref="AF1"/>
    </sheetView>
  </sheetViews>
  <sheetFormatPr baseColWidth="10" defaultRowHeight="14.4" x14ac:dyDescent="0.3"/>
  <cols>
    <col min="1" max="5" width="16.109375" customWidth="1"/>
    <col min="6" max="6" width="19" customWidth="1"/>
    <col min="7" max="7" width="18.88671875" customWidth="1"/>
    <col min="8" max="8" width="16.109375" customWidth="1"/>
    <col min="12" max="12" width="22.77734375" customWidth="1"/>
    <col min="13" max="13" width="20.77734375" customWidth="1"/>
    <col min="14" max="14" width="14.6640625" customWidth="1"/>
    <col min="17" max="17" width="13.5546875" customWidth="1"/>
    <col min="19" max="19" width="7.5546875" customWidth="1"/>
    <col min="26" max="26" width="7.21875" customWidth="1"/>
    <col min="31" max="31" width="9.88671875" customWidth="1"/>
  </cols>
  <sheetData>
    <row r="1" spans="1:32" x14ac:dyDescent="0.3">
      <c r="A1" t="s">
        <v>0</v>
      </c>
      <c r="B1" s="1">
        <v>43774</v>
      </c>
      <c r="C1" s="1">
        <v>43781</v>
      </c>
      <c r="D1" s="1">
        <v>43788</v>
      </c>
      <c r="E1" s="1">
        <v>43795</v>
      </c>
      <c r="F1" s="1">
        <v>43802</v>
      </c>
      <c r="G1" s="1">
        <v>43809</v>
      </c>
      <c r="H1" s="1">
        <v>43816</v>
      </c>
      <c r="I1" s="1">
        <v>43823</v>
      </c>
      <c r="J1" s="1">
        <v>43830</v>
      </c>
      <c r="K1" s="1">
        <v>43472</v>
      </c>
      <c r="L1" s="1">
        <v>43479</v>
      </c>
      <c r="M1" s="1">
        <v>43486</v>
      </c>
      <c r="N1" s="1">
        <v>43493</v>
      </c>
      <c r="O1" s="1">
        <v>43500</v>
      </c>
      <c r="P1" s="1">
        <v>43507</v>
      </c>
      <c r="Q1" s="1">
        <v>43514</v>
      </c>
      <c r="R1" s="1">
        <v>43521</v>
      </c>
      <c r="S1" s="1">
        <v>43526</v>
      </c>
      <c r="T1" s="1">
        <v>43528</v>
      </c>
      <c r="U1" s="1">
        <v>43535</v>
      </c>
      <c r="V1" s="1">
        <v>43542</v>
      </c>
      <c r="W1" s="1">
        <v>43549</v>
      </c>
      <c r="X1" s="1">
        <v>43556</v>
      </c>
      <c r="Y1" s="1">
        <v>43560</v>
      </c>
      <c r="Z1" s="1">
        <v>43570</v>
      </c>
      <c r="AA1" s="1">
        <v>43577</v>
      </c>
      <c r="AB1" s="1">
        <v>43584</v>
      </c>
      <c r="AC1" s="1">
        <v>43591</v>
      </c>
      <c r="AD1" s="1">
        <v>43598</v>
      </c>
      <c r="AE1" s="1">
        <v>43601</v>
      </c>
      <c r="AF1" s="1">
        <v>43605</v>
      </c>
    </row>
    <row r="2" spans="1:32" ht="28.2" customHeight="1" x14ac:dyDescent="0.3">
      <c r="A2" t="s">
        <v>1</v>
      </c>
      <c r="B2" s="2" t="s">
        <v>16</v>
      </c>
      <c r="C2" s="2" t="s">
        <v>15</v>
      </c>
      <c r="D2" s="3" t="s">
        <v>14</v>
      </c>
      <c r="E2" s="2" t="s">
        <v>17</v>
      </c>
      <c r="F2" s="2" t="s">
        <v>5</v>
      </c>
      <c r="G2" s="2" t="s">
        <v>7</v>
      </c>
      <c r="H2" s="3" t="s">
        <v>19</v>
      </c>
      <c r="I2" s="4" t="s">
        <v>9</v>
      </c>
      <c r="J2" s="4" t="s">
        <v>9</v>
      </c>
      <c r="K2" s="4" t="s">
        <v>10</v>
      </c>
      <c r="L2" s="3" t="s">
        <v>12</v>
      </c>
      <c r="M2" s="3" t="s">
        <v>21</v>
      </c>
      <c r="N2" s="2" t="s">
        <v>21</v>
      </c>
      <c r="O2" s="3" t="s">
        <v>27</v>
      </c>
      <c r="P2" s="4" t="s">
        <v>9</v>
      </c>
      <c r="Q2" s="2" t="s">
        <v>27</v>
      </c>
      <c r="R2" s="3" t="s">
        <v>57</v>
      </c>
      <c r="S2" s="52" t="s">
        <v>29</v>
      </c>
      <c r="T2" s="52" t="s">
        <v>110</v>
      </c>
      <c r="U2" s="2" t="s">
        <v>123</v>
      </c>
      <c r="V2" s="2" t="s">
        <v>124</v>
      </c>
      <c r="W2" s="3" t="s">
        <v>131</v>
      </c>
      <c r="X2" s="3" t="s">
        <v>131</v>
      </c>
      <c r="Y2" s="3" t="s">
        <v>131</v>
      </c>
      <c r="Z2" s="56"/>
      <c r="AA2" s="3" t="s">
        <v>131</v>
      </c>
      <c r="AB2" s="3" t="s">
        <v>131</v>
      </c>
      <c r="AC2" s="2" t="s">
        <v>131</v>
      </c>
      <c r="AD2" s="3" t="s">
        <v>138</v>
      </c>
      <c r="AE2" s="56" t="s">
        <v>183</v>
      </c>
    </row>
    <row r="3" spans="1:32" ht="28.2" customHeight="1" x14ac:dyDescent="0.3">
      <c r="A3" t="s">
        <v>2</v>
      </c>
      <c r="B3" s="4"/>
      <c r="C3" s="2" t="s">
        <v>16</v>
      </c>
      <c r="D3" s="3" t="s">
        <v>18</v>
      </c>
      <c r="E3" s="2" t="s">
        <v>4</v>
      </c>
      <c r="F3" s="3" t="s">
        <v>20</v>
      </c>
      <c r="G3" s="2" t="s">
        <v>6</v>
      </c>
      <c r="H3" s="2" t="s">
        <v>8</v>
      </c>
      <c r="I3" s="4" t="s">
        <v>9</v>
      </c>
      <c r="J3" s="4" t="s">
        <v>9</v>
      </c>
      <c r="K3" s="4" t="s">
        <v>10</v>
      </c>
      <c r="L3" s="14" t="s">
        <v>11</v>
      </c>
      <c r="M3" s="3" t="s">
        <v>21</v>
      </c>
      <c r="N3" s="2" t="s">
        <v>21</v>
      </c>
      <c r="O3" s="14" t="s">
        <v>11</v>
      </c>
      <c r="P3" s="4" t="s">
        <v>9</v>
      </c>
      <c r="Q3" s="14" t="s">
        <v>11</v>
      </c>
      <c r="R3" s="3" t="s">
        <v>57</v>
      </c>
      <c r="S3" s="52" t="s">
        <v>29</v>
      </c>
      <c r="T3" s="52" t="s">
        <v>110</v>
      </c>
      <c r="U3" s="2" t="s">
        <v>122</v>
      </c>
      <c r="V3" s="3" t="s">
        <v>125</v>
      </c>
      <c r="W3" s="3" t="s">
        <v>131</v>
      </c>
      <c r="X3" s="3" t="s">
        <v>131</v>
      </c>
      <c r="Y3" s="3" t="s">
        <v>131</v>
      </c>
      <c r="Z3" s="56"/>
      <c r="AA3" s="3" t="s">
        <v>131</v>
      </c>
      <c r="AB3" s="3" t="s">
        <v>131</v>
      </c>
      <c r="AC3" s="2" t="s">
        <v>131</v>
      </c>
      <c r="AD3" s="2" t="s">
        <v>131</v>
      </c>
      <c r="AE3" s="56" t="s">
        <v>183</v>
      </c>
    </row>
    <row r="4" spans="1:32" ht="28.8" customHeight="1" x14ac:dyDescent="0.3">
      <c r="A4" t="s">
        <v>3</v>
      </c>
      <c r="B4" s="2" t="s">
        <v>16</v>
      </c>
      <c r="C4" s="2" t="s">
        <v>15</v>
      </c>
      <c r="D4" s="3" t="s">
        <v>18</v>
      </c>
      <c r="E4" s="2" t="s">
        <v>4</v>
      </c>
      <c r="F4" s="3" t="s">
        <v>20</v>
      </c>
      <c r="G4" s="2" t="s">
        <v>6</v>
      </c>
      <c r="H4" s="2" t="s">
        <v>8</v>
      </c>
      <c r="I4" s="4" t="s">
        <v>9</v>
      </c>
      <c r="J4" s="4" t="s">
        <v>9</v>
      </c>
      <c r="K4" s="4" t="s">
        <v>10</v>
      </c>
      <c r="L4" s="14" t="s">
        <v>11</v>
      </c>
      <c r="M4" s="3" t="s">
        <v>21</v>
      </c>
      <c r="N4" s="2" t="s">
        <v>21</v>
      </c>
      <c r="O4" s="14" t="s">
        <v>11</v>
      </c>
      <c r="P4" s="4" t="s">
        <v>9</v>
      </c>
      <c r="Q4" s="14" t="s">
        <v>11</v>
      </c>
      <c r="R4" s="14" t="s">
        <v>11</v>
      </c>
      <c r="S4" s="52" t="s">
        <v>29</v>
      </c>
      <c r="T4" s="4" t="s">
        <v>111</v>
      </c>
      <c r="U4" s="3" t="s">
        <v>121</v>
      </c>
      <c r="V4" s="2" t="s">
        <v>130</v>
      </c>
      <c r="W4" s="2"/>
      <c r="X4" s="3" t="s">
        <v>131</v>
      </c>
      <c r="Y4" s="3" t="s">
        <v>131</v>
      </c>
      <c r="Z4" s="56"/>
      <c r="AB4" s="3" t="s">
        <v>139</v>
      </c>
      <c r="AC4" s="2" t="s">
        <v>131</v>
      </c>
      <c r="AD4" s="56" t="s">
        <v>183</v>
      </c>
      <c r="AE4" s="56" t="s">
        <v>183</v>
      </c>
    </row>
    <row r="5" spans="1:32" ht="28.8" customHeight="1" x14ac:dyDescent="0.3">
      <c r="A5" t="s">
        <v>40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 t="s">
        <v>13</v>
      </c>
      <c r="N5" s="2" t="s">
        <v>21</v>
      </c>
      <c r="O5" s="2" t="s">
        <v>16</v>
      </c>
      <c r="P5" s="4" t="s">
        <v>9</v>
      </c>
      <c r="Q5" s="2" t="s">
        <v>27</v>
      </c>
      <c r="R5" s="3" t="s">
        <v>57</v>
      </c>
      <c r="S5" s="55"/>
      <c r="T5" s="4" t="s">
        <v>111</v>
      </c>
      <c r="U5" s="3" t="s">
        <v>31</v>
      </c>
      <c r="V5" s="2" t="s">
        <v>31</v>
      </c>
      <c r="W5" s="3" t="s">
        <v>131</v>
      </c>
      <c r="X5" s="3" t="s">
        <v>132</v>
      </c>
      <c r="Y5" s="3" t="s">
        <v>132</v>
      </c>
      <c r="Z5" s="56"/>
      <c r="AA5" s="3" t="s">
        <v>131</v>
      </c>
      <c r="AB5" s="3" t="s">
        <v>131</v>
      </c>
      <c r="AC5" s="2" t="s">
        <v>131</v>
      </c>
      <c r="AD5" s="2" t="s">
        <v>131</v>
      </c>
      <c r="AE5" s="56" t="s">
        <v>183</v>
      </c>
    </row>
    <row r="6" spans="1:32" x14ac:dyDescent="0.3">
      <c r="F6" t="s">
        <v>22</v>
      </c>
      <c r="G6" t="s">
        <v>25</v>
      </c>
      <c r="O6" t="s">
        <v>26</v>
      </c>
    </row>
    <row r="7" spans="1:32" x14ac:dyDescent="0.3">
      <c r="F7" t="s">
        <v>23</v>
      </c>
    </row>
    <row r="8" spans="1:32" x14ac:dyDescent="0.3">
      <c r="F8" t="s">
        <v>24</v>
      </c>
    </row>
    <row r="11" spans="1:32" x14ac:dyDescent="0.3">
      <c r="AB11" s="5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BC92-4796-4401-A0F6-67380B3C0ACF}">
  <sheetPr codeName="Feuil3"/>
  <dimension ref="B2:G79"/>
  <sheetViews>
    <sheetView topLeftCell="A36" zoomScale="80" zoomScaleNormal="80" workbookViewId="0">
      <selection activeCell="F62" sqref="F62"/>
    </sheetView>
  </sheetViews>
  <sheetFormatPr baseColWidth="10" defaultRowHeight="14.4" x14ac:dyDescent="0.3"/>
  <cols>
    <col min="1" max="1" width="6.88671875" customWidth="1"/>
    <col min="2" max="2" width="28.109375" customWidth="1"/>
    <col min="3" max="3" width="27" customWidth="1"/>
    <col min="4" max="4" width="29.88671875" customWidth="1"/>
    <col min="6" max="6" width="8.6640625" style="26" customWidth="1"/>
    <col min="7" max="7" width="35" customWidth="1"/>
    <col min="8" max="8" width="11.5546875" customWidth="1"/>
  </cols>
  <sheetData>
    <row r="2" spans="2:7" ht="23.4" x14ac:dyDescent="0.45">
      <c r="B2" s="59" t="s">
        <v>59</v>
      </c>
      <c r="C2" s="59"/>
      <c r="D2" s="59"/>
      <c r="E2" s="59"/>
    </row>
    <row r="3" spans="2:7" ht="15" customHeight="1" x14ac:dyDescent="0.45">
      <c r="B3" s="27" t="s">
        <v>52</v>
      </c>
      <c r="C3" s="27" t="s">
        <v>65</v>
      </c>
      <c r="D3" s="27" t="s">
        <v>64</v>
      </c>
      <c r="E3" s="25"/>
    </row>
    <row r="4" spans="2:7" x14ac:dyDescent="0.3">
      <c r="B4" s="36" t="s">
        <v>61</v>
      </c>
      <c r="C4" s="45">
        <f ca="1">(SUM(E10,C5,E15))/3</f>
        <v>0.56285714285714283</v>
      </c>
      <c r="D4" s="36" t="s">
        <v>135</v>
      </c>
    </row>
    <row r="5" spans="2:7" x14ac:dyDescent="0.3">
      <c r="B5" s="35" t="s">
        <v>108</v>
      </c>
      <c r="C5" s="41">
        <f>(SUM(E22,E26,E30,E34,E42,E18,E48))/7</f>
        <v>0.68857142857142861</v>
      </c>
      <c r="D5" s="18"/>
    </row>
    <row r="6" spans="2:7" x14ac:dyDescent="0.3">
      <c r="B6" s="21" t="s">
        <v>66</v>
      </c>
      <c r="C6" s="43">
        <f>(SUM(E71,E65,E55))/3</f>
        <v>0.95333333333333325</v>
      </c>
      <c r="D6" s="21" t="s">
        <v>119</v>
      </c>
    </row>
    <row r="8" spans="2:7" ht="23.4" customHeight="1" x14ac:dyDescent="0.3">
      <c r="B8" s="58" t="s">
        <v>54</v>
      </c>
      <c r="C8" s="58"/>
      <c r="D8" s="58"/>
      <c r="E8" s="58"/>
    </row>
    <row r="9" spans="2:7" x14ac:dyDescent="0.3">
      <c r="B9" t="s">
        <v>52</v>
      </c>
      <c r="C9" t="s">
        <v>60</v>
      </c>
      <c r="D9" t="s">
        <v>55</v>
      </c>
      <c r="E9" t="s">
        <v>53</v>
      </c>
      <c r="F9" s="26" t="s">
        <v>62</v>
      </c>
      <c r="G9" t="s">
        <v>64</v>
      </c>
    </row>
    <row r="10" spans="2:7" x14ac:dyDescent="0.3">
      <c r="B10" s="36" t="s">
        <v>67</v>
      </c>
      <c r="C10" s="20"/>
      <c r="D10" s="20"/>
      <c r="E10" s="39">
        <f ca="1">SUMIF(E11:F13,"Done",F11:F13)</f>
        <v>1</v>
      </c>
      <c r="F10" s="28"/>
      <c r="G10" s="20"/>
    </row>
    <row r="11" spans="2:7" x14ac:dyDescent="0.3">
      <c r="B11" s="15"/>
      <c r="C11" s="29" t="s">
        <v>77</v>
      </c>
      <c r="D11" s="29" t="s">
        <v>127</v>
      </c>
      <c r="E11" s="47" t="s">
        <v>56</v>
      </c>
      <c r="F11" s="30">
        <v>0.34</v>
      </c>
      <c r="G11" s="15"/>
    </row>
    <row r="12" spans="2:7" x14ac:dyDescent="0.3">
      <c r="B12" s="15"/>
      <c r="C12" s="29" t="s">
        <v>78</v>
      </c>
      <c r="D12" s="29" t="s">
        <v>128</v>
      </c>
      <c r="E12" s="47" t="s">
        <v>56</v>
      </c>
      <c r="F12" s="30">
        <v>0.33</v>
      </c>
      <c r="G12" s="15"/>
    </row>
    <row r="13" spans="2:7" x14ac:dyDescent="0.3">
      <c r="B13" s="15"/>
      <c r="C13" s="29" t="s">
        <v>94</v>
      </c>
      <c r="D13" s="29" t="s">
        <v>1</v>
      </c>
      <c r="E13" s="47" t="s">
        <v>56</v>
      </c>
      <c r="F13" s="30">
        <v>0.33</v>
      </c>
      <c r="G13" s="15"/>
    </row>
    <row r="14" spans="2:7" x14ac:dyDescent="0.3">
      <c r="B14" s="15"/>
      <c r="C14" s="29"/>
      <c r="D14" s="15"/>
      <c r="E14" s="38"/>
      <c r="F14" s="30"/>
      <c r="G14" s="15"/>
    </row>
    <row r="15" spans="2:7" x14ac:dyDescent="0.3">
      <c r="B15" s="36" t="s">
        <v>68</v>
      </c>
      <c r="C15" s="20"/>
      <c r="D15" s="20"/>
      <c r="E15" s="39">
        <f>SUMIF(E16,"Done",F16)</f>
        <v>0</v>
      </c>
      <c r="F15" s="28"/>
      <c r="G15" s="20"/>
    </row>
    <row r="16" spans="2:7" x14ac:dyDescent="0.3">
      <c r="B16" s="15"/>
      <c r="C16" s="15"/>
      <c r="D16" s="29" t="s">
        <v>129</v>
      </c>
      <c r="E16" s="54" t="s">
        <v>58</v>
      </c>
      <c r="F16" s="37">
        <v>1</v>
      </c>
      <c r="G16" s="15"/>
    </row>
    <row r="17" spans="2:7" x14ac:dyDescent="0.3">
      <c r="B17" s="15"/>
      <c r="C17" s="15"/>
      <c r="D17" s="15"/>
      <c r="E17" s="38"/>
      <c r="F17" s="15"/>
      <c r="G17" s="15"/>
    </row>
    <row r="18" spans="2:7" x14ac:dyDescent="0.3">
      <c r="B18" s="35" t="s">
        <v>69</v>
      </c>
      <c r="C18" s="18"/>
      <c r="D18" s="18"/>
      <c r="E18" s="41">
        <f>SUMIF(E19:E20,"Done",F19:F20)</f>
        <v>1</v>
      </c>
      <c r="F18" s="22"/>
      <c r="G18" s="18"/>
    </row>
    <row r="19" spans="2:7" x14ac:dyDescent="0.3">
      <c r="B19" s="16"/>
      <c r="C19" s="34" t="s">
        <v>79</v>
      </c>
      <c r="D19" s="16" t="s">
        <v>144</v>
      </c>
      <c r="E19" s="40" t="s">
        <v>56</v>
      </c>
      <c r="F19" s="50">
        <v>0.5</v>
      </c>
      <c r="G19" s="16"/>
    </row>
    <row r="20" spans="2:7" x14ac:dyDescent="0.3">
      <c r="B20" s="16"/>
      <c r="C20" s="34" t="s">
        <v>143</v>
      </c>
      <c r="D20" s="34" t="s">
        <v>63</v>
      </c>
      <c r="E20" s="46" t="s">
        <v>56</v>
      </c>
      <c r="F20" s="50">
        <v>0.5</v>
      </c>
      <c r="G20" s="16"/>
    </row>
    <row r="21" spans="2:7" x14ac:dyDescent="0.3">
      <c r="B21" s="16"/>
      <c r="C21" s="34"/>
      <c r="D21" s="16"/>
      <c r="E21" s="40"/>
      <c r="F21" s="31"/>
      <c r="G21" s="16"/>
    </row>
    <row r="22" spans="2:7" x14ac:dyDescent="0.3">
      <c r="B22" s="35" t="s">
        <v>70</v>
      </c>
      <c r="C22" s="18"/>
      <c r="D22" s="18"/>
      <c r="E22" s="41">
        <f>SUMIF(E23:E24,"Done",F23:F24)</f>
        <v>0.5</v>
      </c>
      <c r="F22" s="22"/>
      <c r="G22" s="18"/>
    </row>
    <row r="23" spans="2:7" x14ac:dyDescent="0.3">
      <c r="B23" s="16"/>
      <c r="C23" s="34" t="s">
        <v>80</v>
      </c>
      <c r="D23" s="16"/>
      <c r="E23" s="40"/>
      <c r="F23" s="31">
        <v>0.5</v>
      </c>
      <c r="G23" s="16"/>
    </row>
    <row r="24" spans="2:7" x14ac:dyDescent="0.3">
      <c r="B24" s="16"/>
      <c r="C24" s="34" t="s">
        <v>81</v>
      </c>
      <c r="D24" s="16"/>
      <c r="E24" s="40" t="s">
        <v>56</v>
      </c>
      <c r="F24" s="31">
        <v>0.5</v>
      </c>
      <c r="G24" s="16"/>
    </row>
    <row r="25" spans="2:7" x14ac:dyDescent="0.3">
      <c r="B25" s="16"/>
      <c r="C25" s="34"/>
      <c r="D25" s="16"/>
      <c r="E25" s="40"/>
      <c r="F25" s="31"/>
      <c r="G25" s="16"/>
    </row>
    <row r="26" spans="2:7" x14ac:dyDescent="0.3">
      <c r="B26" s="35" t="s">
        <v>71</v>
      </c>
      <c r="C26" s="18"/>
      <c r="D26" s="18"/>
      <c r="E26" s="41">
        <f>SUMIF(E27:E28,"Done",F27:F28)</f>
        <v>1</v>
      </c>
      <c r="F26" s="22"/>
      <c r="G26" s="18"/>
    </row>
    <row r="27" spans="2:7" x14ac:dyDescent="0.3">
      <c r="B27" s="16"/>
      <c r="C27" s="34" t="s">
        <v>82</v>
      </c>
      <c r="D27" s="16"/>
      <c r="E27" s="40" t="s">
        <v>56</v>
      </c>
      <c r="F27" s="31">
        <v>0.5</v>
      </c>
      <c r="G27" s="16"/>
    </row>
    <row r="28" spans="2:7" x14ac:dyDescent="0.3">
      <c r="B28" s="16"/>
      <c r="C28" s="34" t="s">
        <v>83</v>
      </c>
      <c r="D28" s="34" t="s">
        <v>1</v>
      </c>
      <c r="E28" s="40" t="s">
        <v>56</v>
      </c>
      <c r="F28" s="31">
        <v>0.5</v>
      </c>
      <c r="G28" s="16"/>
    </row>
    <row r="29" spans="2:7" x14ac:dyDescent="0.3">
      <c r="B29" s="16"/>
      <c r="C29" s="34"/>
      <c r="D29" s="34"/>
      <c r="E29" s="40"/>
      <c r="F29" s="31"/>
      <c r="G29" s="16"/>
    </row>
    <row r="30" spans="2:7" x14ac:dyDescent="0.3">
      <c r="B30" s="35" t="s">
        <v>72</v>
      </c>
      <c r="C30" s="18"/>
      <c r="D30" s="18"/>
      <c r="E30" s="41">
        <f>SUMIF(E31:E32,"Done",F31:F32)</f>
        <v>0.5</v>
      </c>
      <c r="F30" s="22"/>
      <c r="G30" s="18"/>
    </row>
    <row r="31" spans="2:7" x14ac:dyDescent="0.3">
      <c r="B31" s="16"/>
      <c r="C31" s="34" t="s">
        <v>84</v>
      </c>
      <c r="D31" s="16"/>
      <c r="E31" s="40"/>
      <c r="F31" s="31">
        <v>0.5</v>
      </c>
      <c r="G31" s="16"/>
    </row>
    <row r="32" spans="2:7" x14ac:dyDescent="0.3">
      <c r="B32" s="16"/>
      <c r="C32" s="34" t="s">
        <v>85</v>
      </c>
      <c r="D32" s="16"/>
      <c r="E32" s="40" t="s">
        <v>56</v>
      </c>
      <c r="F32" s="31">
        <v>0.5</v>
      </c>
      <c r="G32" s="16"/>
    </row>
    <row r="33" spans="2:7" x14ac:dyDescent="0.3">
      <c r="B33" s="16"/>
      <c r="C33" s="34"/>
      <c r="D33" s="16"/>
      <c r="E33" s="46"/>
      <c r="F33" s="31"/>
      <c r="G33" s="16"/>
    </row>
    <row r="34" spans="2:7" x14ac:dyDescent="0.3">
      <c r="B34" s="35" t="s">
        <v>73</v>
      </c>
      <c r="C34" s="18"/>
      <c r="D34" s="18"/>
      <c r="E34" s="42">
        <f>SUMIF(E35:E40,"Done",F35:F40)</f>
        <v>0.82000000000000006</v>
      </c>
      <c r="F34" s="22"/>
      <c r="G34" s="18"/>
    </row>
    <row r="35" spans="2:7" x14ac:dyDescent="0.3">
      <c r="B35" s="16"/>
      <c r="C35" s="34" t="s">
        <v>86</v>
      </c>
      <c r="D35" s="16"/>
      <c r="E35" s="40"/>
      <c r="F35" s="31">
        <v>0.18</v>
      </c>
      <c r="G35" s="16"/>
    </row>
    <row r="36" spans="2:7" x14ac:dyDescent="0.3">
      <c r="B36" s="16"/>
      <c r="C36" s="34" t="s">
        <v>87</v>
      </c>
      <c r="D36" s="34" t="s">
        <v>92</v>
      </c>
      <c r="E36" s="40" t="s">
        <v>56</v>
      </c>
      <c r="F36" s="31">
        <v>0.16</v>
      </c>
      <c r="G36" s="16"/>
    </row>
    <row r="37" spans="2:7" x14ac:dyDescent="0.3">
      <c r="B37" s="16"/>
      <c r="C37" s="34" t="s">
        <v>88</v>
      </c>
      <c r="D37" s="34" t="s">
        <v>92</v>
      </c>
      <c r="E37" s="46" t="s">
        <v>56</v>
      </c>
      <c r="F37" s="31">
        <v>0.16500000000000001</v>
      </c>
      <c r="G37" s="16"/>
    </row>
    <row r="38" spans="2:7" x14ac:dyDescent="0.3">
      <c r="B38" s="16"/>
      <c r="C38" s="34" t="s">
        <v>142</v>
      </c>
      <c r="D38" s="34" t="s">
        <v>40</v>
      </c>
      <c r="E38" s="46" t="s">
        <v>56</v>
      </c>
      <c r="F38" s="31">
        <v>0.16500000000000001</v>
      </c>
      <c r="G38" s="16"/>
    </row>
    <row r="39" spans="2:7" x14ac:dyDescent="0.3">
      <c r="B39" s="16"/>
      <c r="C39" s="34" t="s">
        <v>140</v>
      </c>
      <c r="D39" s="34" t="s">
        <v>40</v>
      </c>
      <c r="E39" s="46" t="s">
        <v>56</v>
      </c>
      <c r="F39" s="31">
        <v>0.16500000000000001</v>
      </c>
      <c r="G39" s="16"/>
    </row>
    <row r="40" spans="2:7" x14ac:dyDescent="0.3">
      <c r="B40" s="16"/>
      <c r="C40" s="34" t="s">
        <v>141</v>
      </c>
      <c r="D40" s="34" t="s">
        <v>40</v>
      </c>
      <c r="E40" s="46" t="s">
        <v>56</v>
      </c>
      <c r="F40" s="31">
        <v>0.16500000000000001</v>
      </c>
      <c r="G40" s="16"/>
    </row>
    <row r="41" spans="2:7" x14ac:dyDescent="0.3">
      <c r="B41" s="16"/>
      <c r="C41" s="34"/>
      <c r="D41" s="34"/>
      <c r="E41" s="46"/>
      <c r="F41" s="31"/>
      <c r="G41" s="16"/>
    </row>
    <row r="42" spans="2:7" x14ac:dyDescent="0.3">
      <c r="B42" s="35" t="s">
        <v>74</v>
      </c>
      <c r="C42" s="18"/>
      <c r="D42" s="18"/>
      <c r="E42" s="42">
        <f>SUMIF(E43:E46,"Done",F43:F46)</f>
        <v>0</v>
      </c>
      <c r="F42" s="22"/>
      <c r="G42" s="18"/>
    </row>
    <row r="43" spans="2:7" x14ac:dyDescent="0.3">
      <c r="B43" s="16"/>
      <c r="C43" s="34" t="s">
        <v>89</v>
      </c>
      <c r="D43" s="34" t="s">
        <v>137</v>
      </c>
      <c r="E43" s="46" t="s">
        <v>58</v>
      </c>
      <c r="F43" s="31">
        <v>0.25</v>
      </c>
      <c r="G43" s="16" t="s">
        <v>147</v>
      </c>
    </row>
    <row r="44" spans="2:7" x14ac:dyDescent="0.3">
      <c r="B44" s="16"/>
      <c r="C44" s="34" t="s">
        <v>148</v>
      </c>
      <c r="D44" s="34" t="s">
        <v>1</v>
      </c>
      <c r="E44" s="40" t="s">
        <v>146</v>
      </c>
      <c r="F44" s="31">
        <v>0.25</v>
      </c>
      <c r="G44" s="16" t="s">
        <v>138</v>
      </c>
    </row>
    <row r="45" spans="2:7" x14ac:dyDescent="0.3">
      <c r="B45" s="16"/>
      <c r="C45" s="34" t="s">
        <v>149</v>
      </c>
      <c r="D45" s="34" t="s">
        <v>1</v>
      </c>
      <c r="E45" s="40" t="s">
        <v>136</v>
      </c>
      <c r="F45" s="31">
        <v>0.25</v>
      </c>
      <c r="G45" s="16"/>
    </row>
    <row r="46" spans="2:7" x14ac:dyDescent="0.3">
      <c r="B46" s="16"/>
      <c r="C46" s="34" t="s">
        <v>145</v>
      </c>
      <c r="D46" s="34" t="s">
        <v>1</v>
      </c>
      <c r="E46" s="40"/>
      <c r="F46" s="31">
        <v>0.25</v>
      </c>
      <c r="G46" s="16"/>
    </row>
    <row r="47" spans="2:7" x14ac:dyDescent="0.3">
      <c r="B47" s="16"/>
      <c r="C47" s="16"/>
      <c r="D47" s="16"/>
      <c r="E47" s="16"/>
      <c r="F47" s="16"/>
      <c r="G47" s="16"/>
    </row>
    <row r="48" spans="2:7" x14ac:dyDescent="0.3">
      <c r="B48" s="35" t="s">
        <v>75</v>
      </c>
      <c r="C48" s="18"/>
      <c r="D48" s="18"/>
      <c r="E48" s="42">
        <f>SUMIF(E49:E50,"Done",F49:F50)</f>
        <v>1</v>
      </c>
      <c r="F48" s="18"/>
      <c r="G48" s="18"/>
    </row>
    <row r="49" spans="2:7" x14ac:dyDescent="0.3">
      <c r="B49" s="16"/>
      <c r="C49" s="34" t="s">
        <v>90</v>
      </c>
      <c r="D49" s="16"/>
      <c r="E49" s="46" t="s">
        <v>56</v>
      </c>
      <c r="F49" s="31">
        <v>0.5</v>
      </c>
      <c r="G49" s="16"/>
    </row>
    <row r="50" spans="2:7" x14ac:dyDescent="0.3">
      <c r="B50" s="16"/>
      <c r="C50" s="34" t="s">
        <v>91</v>
      </c>
      <c r="D50" s="34" t="s">
        <v>93</v>
      </c>
      <c r="E50" s="46" t="s">
        <v>56</v>
      </c>
      <c r="F50" s="31">
        <v>0.5</v>
      </c>
      <c r="G50" s="16"/>
    </row>
    <row r="51" spans="2:7" x14ac:dyDescent="0.3">
      <c r="B51" s="16"/>
      <c r="C51" s="34"/>
      <c r="D51" s="34"/>
      <c r="E51" s="46"/>
      <c r="F51" s="31"/>
      <c r="G51" s="16"/>
    </row>
    <row r="52" spans="2:7" x14ac:dyDescent="0.3">
      <c r="B52" s="35" t="s">
        <v>120</v>
      </c>
      <c r="C52" s="18"/>
      <c r="D52" s="18"/>
      <c r="E52" s="41">
        <f>SUMIF(E53:E53,"Done",F53:F53)</f>
        <v>1</v>
      </c>
      <c r="F52" s="53"/>
      <c r="G52" s="18"/>
    </row>
    <row r="53" spans="2:7" x14ac:dyDescent="0.3">
      <c r="B53" s="16"/>
      <c r="C53" s="34" t="s">
        <v>134</v>
      </c>
      <c r="D53" s="16"/>
      <c r="E53" s="46" t="s">
        <v>56</v>
      </c>
      <c r="F53" s="50">
        <v>1</v>
      </c>
      <c r="G53" s="16"/>
    </row>
    <row r="54" spans="2:7" x14ac:dyDescent="0.3">
      <c r="B54" s="16"/>
      <c r="C54" s="16"/>
      <c r="D54" s="16"/>
      <c r="E54" s="40"/>
      <c r="F54" s="31"/>
      <c r="G54" s="16"/>
    </row>
    <row r="55" spans="2:7" x14ac:dyDescent="0.3">
      <c r="B55" s="21" t="s">
        <v>76</v>
      </c>
      <c r="C55" s="19"/>
      <c r="D55" s="21"/>
      <c r="E55" s="43">
        <f>SUMIF(E56:E63,"Done",F56:F63)</f>
        <v>0.86</v>
      </c>
      <c r="F55" s="24"/>
      <c r="G55" s="21"/>
    </row>
    <row r="56" spans="2:7" x14ac:dyDescent="0.3">
      <c r="B56" s="17"/>
      <c r="C56" s="23" t="s">
        <v>96</v>
      </c>
      <c r="D56" s="23" t="s">
        <v>112</v>
      </c>
      <c r="E56" s="49" t="s">
        <v>56</v>
      </c>
      <c r="F56" s="32">
        <v>0.14000000000000001</v>
      </c>
      <c r="G56" s="17" t="s">
        <v>95</v>
      </c>
    </row>
    <row r="57" spans="2:7" x14ac:dyDescent="0.3">
      <c r="B57" s="17"/>
      <c r="C57" s="23" t="s">
        <v>97</v>
      </c>
      <c r="D57" s="23" t="s">
        <v>112</v>
      </c>
      <c r="E57" s="44" t="s">
        <v>56</v>
      </c>
      <c r="F57" s="32">
        <v>0.12</v>
      </c>
      <c r="G57" s="17"/>
    </row>
    <row r="58" spans="2:7" x14ac:dyDescent="0.3">
      <c r="B58" s="17"/>
      <c r="C58" s="23" t="s">
        <v>98</v>
      </c>
      <c r="D58" s="23" t="s">
        <v>112</v>
      </c>
      <c r="E58" s="44" t="s">
        <v>56</v>
      </c>
      <c r="F58" s="32">
        <v>0.12</v>
      </c>
      <c r="G58" s="23" t="s">
        <v>113</v>
      </c>
    </row>
    <row r="59" spans="2:7" x14ac:dyDescent="0.3">
      <c r="B59" s="17"/>
      <c r="C59" s="23" t="s">
        <v>99</v>
      </c>
      <c r="D59" s="23" t="s">
        <v>128</v>
      </c>
      <c r="E59" s="44" t="s">
        <v>56</v>
      </c>
      <c r="F59" s="32">
        <v>0.12</v>
      </c>
      <c r="G59" s="17"/>
    </row>
    <row r="60" spans="2:7" x14ac:dyDescent="0.3">
      <c r="B60" s="17"/>
      <c r="C60" s="23" t="s">
        <v>100</v>
      </c>
      <c r="D60" s="23" t="s">
        <v>2</v>
      </c>
      <c r="E60" s="44" t="s">
        <v>56</v>
      </c>
      <c r="F60" s="32">
        <v>0.12</v>
      </c>
      <c r="G60" s="17"/>
    </row>
    <row r="61" spans="2:7" x14ac:dyDescent="0.3">
      <c r="B61" s="17"/>
      <c r="C61" s="23" t="s">
        <v>107</v>
      </c>
      <c r="D61" s="23" t="s">
        <v>2</v>
      </c>
      <c r="E61" s="44" t="s">
        <v>56</v>
      </c>
      <c r="F61" s="32">
        <v>0.12</v>
      </c>
      <c r="G61" s="23" t="s">
        <v>109</v>
      </c>
    </row>
    <row r="62" spans="2:7" x14ac:dyDescent="0.3">
      <c r="B62" s="17"/>
      <c r="C62" s="23" t="s">
        <v>116</v>
      </c>
      <c r="D62" s="23" t="s">
        <v>117</v>
      </c>
      <c r="E62" s="44" t="s">
        <v>56</v>
      </c>
      <c r="F62" s="32">
        <v>0.12</v>
      </c>
      <c r="G62" s="23" t="s">
        <v>118</v>
      </c>
    </row>
    <row r="63" spans="2:7" x14ac:dyDescent="0.3">
      <c r="B63" s="17"/>
      <c r="C63" s="23" t="s">
        <v>126</v>
      </c>
      <c r="D63" s="23"/>
      <c r="E63" s="44" t="s">
        <v>133</v>
      </c>
      <c r="F63" s="32">
        <v>0.12</v>
      </c>
      <c r="G63" s="23"/>
    </row>
    <row r="64" spans="2:7" x14ac:dyDescent="0.3">
      <c r="B64" s="17"/>
      <c r="C64" s="23"/>
      <c r="D64" s="23"/>
      <c r="E64" s="44"/>
      <c r="F64" s="32"/>
      <c r="G64" s="23"/>
    </row>
    <row r="65" spans="2:7" x14ac:dyDescent="0.3">
      <c r="B65" s="21" t="s">
        <v>101</v>
      </c>
      <c r="C65" s="19"/>
      <c r="D65" s="19"/>
      <c r="E65" s="43">
        <f>SUMIF(E66:E69,"Done",F66:F69)</f>
        <v>1</v>
      </c>
      <c r="F65" s="24"/>
      <c r="G65" s="19"/>
    </row>
    <row r="66" spans="2:7" x14ac:dyDescent="0.3">
      <c r="B66" s="17"/>
      <c r="C66" s="23" t="s">
        <v>103</v>
      </c>
      <c r="D66" s="23" t="s">
        <v>1</v>
      </c>
      <c r="E66" s="49" t="s">
        <v>56</v>
      </c>
      <c r="F66" s="33">
        <v>0.25</v>
      </c>
      <c r="G66" s="17"/>
    </row>
    <row r="67" spans="2:7" x14ac:dyDescent="0.3">
      <c r="B67" s="17"/>
      <c r="C67" s="23" t="s">
        <v>104</v>
      </c>
      <c r="D67" s="23" t="s">
        <v>40</v>
      </c>
      <c r="E67" s="44" t="s">
        <v>56</v>
      </c>
      <c r="F67" s="33">
        <v>0.25</v>
      </c>
      <c r="G67" s="17"/>
    </row>
    <row r="68" spans="2:7" x14ac:dyDescent="0.3">
      <c r="B68" s="17"/>
      <c r="C68" s="23" t="s">
        <v>105</v>
      </c>
      <c r="D68" s="23" t="s">
        <v>92</v>
      </c>
      <c r="E68" s="44" t="s">
        <v>56</v>
      </c>
      <c r="F68" s="33">
        <v>0.25</v>
      </c>
      <c r="G68" s="17"/>
    </row>
    <row r="69" spans="2:7" x14ac:dyDescent="0.3">
      <c r="B69" s="17"/>
      <c r="C69" s="23" t="s">
        <v>106</v>
      </c>
      <c r="D69" s="23" t="s">
        <v>1</v>
      </c>
      <c r="E69" s="44" t="s">
        <v>56</v>
      </c>
      <c r="F69" s="33">
        <v>0.25</v>
      </c>
      <c r="G69" s="17"/>
    </row>
    <row r="70" spans="2:7" x14ac:dyDescent="0.3">
      <c r="B70" s="17"/>
      <c r="C70" s="17"/>
      <c r="D70" s="17"/>
      <c r="E70" s="51"/>
      <c r="F70" s="33"/>
      <c r="G70" s="17"/>
    </row>
    <row r="71" spans="2:7" x14ac:dyDescent="0.3">
      <c r="B71" s="21" t="s">
        <v>102</v>
      </c>
      <c r="C71" s="19"/>
      <c r="D71" s="19"/>
      <c r="E71" s="43">
        <f>SUMIF(E72:E73,"Done",F72:F73)</f>
        <v>1</v>
      </c>
      <c r="F71" s="24"/>
      <c r="G71" s="19"/>
    </row>
    <row r="72" spans="2:7" x14ac:dyDescent="0.3">
      <c r="B72" s="17"/>
      <c r="C72" s="23" t="s">
        <v>115</v>
      </c>
      <c r="D72" s="23" t="s">
        <v>1</v>
      </c>
      <c r="E72" s="49" t="s">
        <v>56</v>
      </c>
      <c r="F72" s="33">
        <v>0.5</v>
      </c>
      <c r="G72" s="17"/>
    </row>
    <row r="73" spans="2:7" x14ac:dyDescent="0.3">
      <c r="B73" s="17"/>
      <c r="C73" s="23" t="s">
        <v>114</v>
      </c>
      <c r="D73" s="23" t="s">
        <v>1</v>
      </c>
      <c r="E73" s="44" t="s">
        <v>56</v>
      </c>
      <c r="F73" s="33">
        <v>0.5</v>
      </c>
      <c r="G73" s="17"/>
    </row>
    <row r="74" spans="2:7" x14ac:dyDescent="0.3">
      <c r="B74" s="17"/>
      <c r="C74" s="17"/>
      <c r="D74" s="17"/>
      <c r="E74" s="48"/>
      <c r="F74" s="33"/>
      <c r="G74" s="17"/>
    </row>
    <row r="75" spans="2:7" x14ac:dyDescent="0.3">
      <c r="F75"/>
    </row>
    <row r="76" spans="2:7" x14ac:dyDescent="0.3">
      <c r="F76"/>
    </row>
    <row r="77" spans="2:7" x14ac:dyDescent="0.3">
      <c r="F77"/>
    </row>
    <row r="78" spans="2:7" x14ac:dyDescent="0.3">
      <c r="F78"/>
    </row>
    <row r="79" spans="2:7" x14ac:dyDescent="0.3">
      <c r="F79"/>
    </row>
  </sheetData>
  <mergeCells count="2">
    <mergeCell ref="B8:E8"/>
    <mergeCell ref="B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F3C1-97AB-487F-B649-A50FE5815C35}">
  <dimension ref="A1:D20"/>
  <sheetViews>
    <sheetView tabSelected="1" workbookViewId="0">
      <selection activeCell="C27" sqref="C27"/>
    </sheetView>
  </sheetViews>
  <sheetFormatPr baseColWidth="10" defaultRowHeight="14.4" x14ac:dyDescent="0.3"/>
  <cols>
    <col min="2" max="2" width="27.33203125" customWidth="1"/>
    <col min="3" max="3" width="22.6640625" customWidth="1"/>
    <col min="4" max="4" width="23.21875" customWidth="1"/>
    <col min="6" max="6" width="23" customWidth="1"/>
  </cols>
  <sheetData>
    <row r="1" spans="1:4" x14ac:dyDescent="0.3">
      <c r="A1" t="s">
        <v>180</v>
      </c>
      <c r="B1" t="s">
        <v>181</v>
      </c>
      <c r="C1" t="s">
        <v>182</v>
      </c>
      <c r="D1" t="s">
        <v>150</v>
      </c>
    </row>
    <row r="2" spans="1:4" x14ac:dyDescent="0.3">
      <c r="A2">
        <v>1</v>
      </c>
      <c r="B2" s="60" t="s">
        <v>151</v>
      </c>
      <c r="C2" t="s">
        <v>171</v>
      </c>
      <c r="D2" t="s">
        <v>1</v>
      </c>
    </row>
    <row r="3" spans="1:4" x14ac:dyDescent="0.3">
      <c r="A3">
        <v>2</v>
      </c>
      <c r="B3" s="60" t="s">
        <v>152</v>
      </c>
      <c r="C3" t="s">
        <v>153</v>
      </c>
      <c r="D3" t="s">
        <v>1</v>
      </c>
    </row>
    <row r="4" spans="1:4" x14ac:dyDescent="0.3">
      <c r="A4">
        <v>2</v>
      </c>
      <c r="B4" s="60" t="s">
        <v>156</v>
      </c>
      <c r="C4" t="s">
        <v>172</v>
      </c>
      <c r="D4" t="s">
        <v>1</v>
      </c>
    </row>
    <row r="5" spans="1:4" x14ac:dyDescent="0.3">
      <c r="A5">
        <v>2</v>
      </c>
      <c r="B5" s="60" t="s">
        <v>157</v>
      </c>
      <c r="C5" t="s">
        <v>173</v>
      </c>
      <c r="D5" t="s">
        <v>154</v>
      </c>
    </row>
    <row r="6" spans="1:4" x14ac:dyDescent="0.3">
      <c r="A6">
        <v>2</v>
      </c>
      <c r="B6" s="60" t="s">
        <v>155</v>
      </c>
      <c r="C6" t="s">
        <v>174</v>
      </c>
      <c r="D6" t="s">
        <v>154</v>
      </c>
    </row>
    <row r="7" spans="1:4" x14ac:dyDescent="0.3">
      <c r="B7" s="60"/>
    </row>
    <row r="8" spans="1:4" x14ac:dyDescent="0.3">
      <c r="A8">
        <v>2</v>
      </c>
      <c r="B8" s="60" t="s">
        <v>160</v>
      </c>
      <c r="C8" t="s">
        <v>175</v>
      </c>
      <c r="D8" t="s">
        <v>1</v>
      </c>
    </row>
    <row r="9" spans="1:4" x14ac:dyDescent="0.3">
      <c r="A9">
        <v>3</v>
      </c>
      <c r="B9" s="60" t="s">
        <v>161</v>
      </c>
    </row>
    <row r="10" spans="1:4" x14ac:dyDescent="0.3">
      <c r="A10">
        <v>3</v>
      </c>
      <c r="B10" s="60" t="s">
        <v>162</v>
      </c>
      <c r="C10" t="s">
        <v>153</v>
      </c>
    </row>
    <row r="11" spans="1:4" x14ac:dyDescent="0.3">
      <c r="A11">
        <v>3</v>
      </c>
      <c r="B11" s="60" t="s">
        <v>163</v>
      </c>
      <c r="C11" t="s">
        <v>153</v>
      </c>
      <c r="D11" t="s">
        <v>1</v>
      </c>
    </row>
    <row r="12" spans="1:4" x14ac:dyDescent="0.3">
      <c r="B12" s="60"/>
    </row>
    <row r="13" spans="1:4" x14ac:dyDescent="0.3">
      <c r="A13">
        <v>2</v>
      </c>
      <c r="B13" s="60" t="s">
        <v>158</v>
      </c>
      <c r="C13" s="60" t="s">
        <v>176</v>
      </c>
      <c r="D13" t="s">
        <v>159</v>
      </c>
    </row>
    <row r="14" spans="1:4" x14ac:dyDescent="0.3">
      <c r="A14">
        <v>3</v>
      </c>
      <c r="B14" s="60" t="s">
        <v>164</v>
      </c>
      <c r="C14" t="s">
        <v>153</v>
      </c>
      <c r="D14" t="s">
        <v>165</v>
      </c>
    </row>
    <row r="15" spans="1:4" x14ac:dyDescent="0.3">
      <c r="A15">
        <v>3</v>
      </c>
      <c r="B15" s="60" t="s">
        <v>166</v>
      </c>
      <c r="C15" t="s">
        <v>153</v>
      </c>
      <c r="D15" t="s">
        <v>165</v>
      </c>
    </row>
    <row r="16" spans="1:4" x14ac:dyDescent="0.3">
      <c r="A16">
        <v>3</v>
      </c>
      <c r="B16" s="60" t="s">
        <v>167</v>
      </c>
      <c r="C16" t="s">
        <v>153</v>
      </c>
      <c r="D16" t="s">
        <v>165</v>
      </c>
    </row>
    <row r="17" spans="1:4" x14ac:dyDescent="0.3">
      <c r="B17" s="60"/>
    </row>
    <row r="18" spans="1:4" x14ac:dyDescent="0.3">
      <c r="A18">
        <v>2</v>
      </c>
      <c r="B18" s="60" t="s">
        <v>168</v>
      </c>
      <c r="C18" t="s">
        <v>177</v>
      </c>
      <c r="D18" t="s">
        <v>2</v>
      </c>
    </row>
    <row r="19" spans="1:4" x14ac:dyDescent="0.3">
      <c r="A19">
        <v>3</v>
      </c>
      <c r="B19" s="60" t="s">
        <v>169</v>
      </c>
      <c r="C19" s="60" t="s">
        <v>178</v>
      </c>
      <c r="D19" t="s">
        <v>165</v>
      </c>
    </row>
    <row r="20" spans="1:4" x14ac:dyDescent="0.3">
      <c r="A20">
        <v>3</v>
      </c>
      <c r="B20" s="60" t="s">
        <v>170</v>
      </c>
      <c r="C20" s="60" t="s">
        <v>179</v>
      </c>
      <c r="D20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RACI</vt:lpstr>
      <vt:lpstr>Weekly</vt:lpstr>
      <vt:lpstr>Gestion des fichiers</vt:lpstr>
      <vt:lpstr>Code Labview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2019-01-25T14:35:23Z</dcterms:created>
  <dcterms:modified xsi:type="dcterms:W3CDTF">2019-05-16T18:25:41Z</dcterms:modified>
</cp:coreProperties>
</file>